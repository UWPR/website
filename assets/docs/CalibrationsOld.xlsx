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iska's Stuff\UWPR website\html\docs\"/>
    </mc:Choice>
  </mc:AlternateContent>
  <bookViews>
    <workbookView xWindow="0" yWindow="0" windowWidth="38400" windowHeight="17175"/>
  </bookViews>
  <sheets>
    <sheet name="FusionLumos" sheetId="1" r:id="rId1"/>
    <sheet name="Calibration solutions" sheetId="2" r:id="rId2"/>
    <sheet name="Materials and stock solutions" sheetId="3" r:id="rId3"/>
    <sheet name="Reserpine" sheetId="4" r:id="rId4"/>
    <sheet name="Buspirone" sheetId="5" r:id="rId5"/>
  </sheets>
  <externalReferences>
    <externalReference r:id="rId6"/>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2" i="5" l="1"/>
  <c r="D47" i="5"/>
  <c r="D42" i="5"/>
  <c r="D37" i="5"/>
  <c r="D32" i="5"/>
  <c r="D27" i="5"/>
  <c r="D59" i="4"/>
  <c r="D54" i="4"/>
  <c r="D49" i="4"/>
  <c r="D44" i="4"/>
  <c r="D39" i="4"/>
  <c r="D34" i="4"/>
  <c r="D29" i="4"/>
  <c r="D24" i="4"/>
  <c r="D18" i="4"/>
  <c r="C149" i="3"/>
  <c r="A146" i="3"/>
  <c r="C143" i="3"/>
  <c r="A131" i="3"/>
  <c r="C128" i="3"/>
  <c r="L95" i="3"/>
  <c r="L96" i="3" s="1"/>
  <c r="J95" i="3"/>
  <c r="J96" i="3" s="1"/>
  <c r="L88" i="3"/>
  <c r="L87" i="3"/>
  <c r="J87" i="3"/>
  <c r="J88" i="3" s="1"/>
  <c r="H81" i="3"/>
  <c r="L59" i="3"/>
  <c r="F59" i="3"/>
  <c r="L58" i="3"/>
  <c r="J58" i="3"/>
  <c r="J59" i="3" s="1"/>
  <c r="H58" i="3"/>
  <c r="H59" i="3" s="1"/>
  <c r="F58" i="3"/>
  <c r="V52" i="2"/>
  <c r="A27" i="2"/>
  <c r="N15" i="2"/>
  <c r="L15" i="2"/>
  <c r="J15" i="2"/>
  <c r="H15" i="2"/>
  <c r="F15" i="2"/>
</calcChain>
</file>

<file path=xl/comments1.xml><?xml version="1.0" encoding="utf-8"?>
<comments xmlns="http://schemas.openxmlformats.org/spreadsheetml/2006/main">
  <authors>
    <author>Priska</author>
  </authors>
  <commentList>
    <comment ref="B8" authorId="0" shapeId="0">
      <text>
        <r>
          <rPr>
            <sz val="9"/>
            <color indexed="81"/>
            <rFont val="Tahoma"/>
            <family val="2"/>
          </rPr>
          <t>C:/Thermo/Instrument/TNG/OrbitrapFusion/3.0/System/MSI</t>
        </r>
      </text>
    </comment>
  </commentList>
</comments>
</file>

<file path=xl/comments2.xml><?xml version="1.0" encoding="utf-8"?>
<comments xmlns="http://schemas.openxmlformats.org/spreadsheetml/2006/main">
  <authors>
    <author>Priska von Haller</author>
  </authors>
  <commentList>
    <comment ref="F57" authorId="0" shapeId="0">
      <text>
        <r>
          <rPr>
            <sz val="8"/>
            <color indexed="81"/>
            <rFont val="Tahoma"/>
            <family val="2"/>
          </rPr>
          <t>enter the amount you weighed in to calculate the volume</t>
        </r>
      </text>
    </comment>
    <comment ref="H57" authorId="0" shapeId="0">
      <text>
        <r>
          <rPr>
            <sz val="8"/>
            <color indexed="81"/>
            <rFont val="Tahoma"/>
            <family val="2"/>
          </rPr>
          <t>enter the amount you weighed in to calculate the volume</t>
        </r>
      </text>
    </comment>
    <comment ref="J57" authorId="0" shapeId="0">
      <text>
        <r>
          <rPr>
            <sz val="8"/>
            <color indexed="81"/>
            <rFont val="Tahoma"/>
            <family val="2"/>
          </rPr>
          <t>enter the amount you weighed in to calculate the volume</t>
        </r>
      </text>
    </comment>
    <comment ref="L57" authorId="0" shapeId="0">
      <text>
        <r>
          <rPr>
            <sz val="8"/>
            <color indexed="81"/>
            <rFont val="Tahoma"/>
            <family val="2"/>
          </rPr>
          <t>enter the amount you weighed in to calculate the volume</t>
        </r>
      </text>
    </comment>
  </commentList>
</comments>
</file>

<file path=xl/sharedStrings.xml><?xml version="1.0" encoding="utf-8"?>
<sst xmlns="http://schemas.openxmlformats.org/spreadsheetml/2006/main" count="878" uniqueCount="345">
  <si>
    <t>Were any ion optics removed for routine maintenance ?</t>
  </si>
  <si>
    <t>Run All Calibrations under Positive ion Mode    (Positive Calmix)</t>
  </si>
  <si>
    <t xml:space="preserve">     &gt;    Ion Optics   -   All</t>
  </si>
  <si>
    <t xml:space="preserve">     &gt;    Ion Trap   -   All</t>
  </si>
  <si>
    <t xml:space="preserve">     &gt;    Quadruople   -   All</t>
  </si>
  <si>
    <t xml:space="preserve">     &gt;    Oribtrap   -   All w/pAGC </t>
  </si>
  <si>
    <t xml:space="preserve">     &gt;    Calibrate Devices (Optional)</t>
  </si>
  <si>
    <t>(system in standby)</t>
  </si>
  <si>
    <r>
      <t xml:space="preserve">     &gt;   Select RF </t>
    </r>
    <r>
      <rPr>
        <sz val="8"/>
        <color theme="1"/>
        <rFont val="Calibri"/>
        <family val="2"/>
        <scheme val="minor"/>
      </rPr>
      <t>(This selects All RF Dips)</t>
    </r>
  </si>
  <si>
    <t xml:space="preserve">     &gt;   Select Dip End Lens RF</t>
  </si>
  <si>
    <r>
      <t xml:space="preserve">     &gt;   Scan All RF's (</t>
    </r>
    <r>
      <rPr>
        <sz val="8"/>
        <color theme="1"/>
        <rFont val="Calibri"/>
        <family val="2"/>
        <scheme val="minor"/>
      </rPr>
      <t>verifies All RF's are OK</t>
    </r>
    <r>
      <rPr>
        <sz val="11"/>
        <color theme="1"/>
        <rFont val="Calibri"/>
        <family val="2"/>
        <scheme val="minor"/>
      </rPr>
      <t>)</t>
    </r>
  </si>
  <si>
    <r>
      <t xml:space="preserve">     &gt;   Scan All DC's (</t>
    </r>
    <r>
      <rPr>
        <sz val="8"/>
        <color theme="1"/>
        <rFont val="Calibri"/>
        <family val="2"/>
        <scheme val="minor"/>
      </rPr>
      <t>verifies All DC's are OK</t>
    </r>
    <r>
      <rPr>
        <sz val="11"/>
        <color theme="1"/>
        <rFont val="Calibri"/>
        <family val="2"/>
        <scheme val="minor"/>
      </rPr>
      <t>)</t>
    </r>
  </si>
  <si>
    <t>(Optional)</t>
  </si>
  <si>
    <t xml:space="preserve">     &gt;   Multipole RF Amplitude</t>
  </si>
  <si>
    <t xml:space="preserve">     &gt;   Ctrap RF</t>
  </si>
  <si>
    <t>Run All Ion Optics under Positive ion Mode    (Positive Calmix)</t>
  </si>
  <si>
    <t>Diag/System/Orbitrap</t>
  </si>
  <si>
    <t>Diag/System/Orbitrap/Isotope Ratio</t>
  </si>
  <si>
    <t xml:space="preserve">     &gt;    Evaluate Isotope Ratio</t>
  </si>
  <si>
    <t>If either of the 2 above fail refer to Note 2</t>
  </si>
  <si>
    <t>Diag/System/Orbitrap/Mass</t>
  </si>
  <si>
    <t xml:space="preserve">     &gt;    Evaluate Isotope Interactions</t>
  </si>
  <si>
    <t>If the Evaluate Isotope Interactions fails then run the following and then re-run the Eval Isotope Interactions again</t>
  </si>
  <si>
    <t>Diag/Cali/Main/Orbitrap</t>
  </si>
  <si>
    <t xml:space="preserve">     &gt;    Isotope interactions</t>
  </si>
  <si>
    <t>Are Additional Calibration Confirmations/Checks Desired ?</t>
  </si>
  <si>
    <t>Run the following Calibration Checks under Positive Ion Mode</t>
  </si>
  <si>
    <t>(Positive Calmix)</t>
  </si>
  <si>
    <t>Permormance Check:</t>
  </si>
  <si>
    <t>Lens Charging Evaluation</t>
  </si>
  <si>
    <t>Diag/System/Ion Optics</t>
  </si>
  <si>
    <t>Diag/System/Dip RF (RF Dips)</t>
  </si>
  <si>
    <t>Diag/Hardware/Devices/Outputs</t>
  </si>
  <si>
    <t>Diag/System/ETD/Dip RF (For ETD Option Only)</t>
  </si>
  <si>
    <t>Diag/Cali/Main Cali/Optics</t>
  </si>
  <si>
    <t xml:space="preserve">     &gt;   Evaluate Positive Lens Charging w/ESI</t>
  </si>
  <si>
    <t>refer to Note 3</t>
  </si>
  <si>
    <t>Plan to use intact protein mode?</t>
  </si>
  <si>
    <t xml:space="preserve">     &gt;    Intact Protein Mode   -   All</t>
  </si>
  <si>
    <t>Cali/Positive Extended</t>
  </si>
  <si>
    <t>Yes</t>
  </si>
  <si>
    <t>Plan to use High Mass Range and/or Intact Protein Mode?</t>
  </si>
  <si>
    <t xml:space="preserve">     &gt;    High Mass Range   -   All</t>
  </si>
  <si>
    <t>Plan to use IC (Internal Calibrant)?</t>
  </si>
  <si>
    <t>Cali/ETD</t>
  </si>
  <si>
    <t>Plan to use Negative Ion Mode Range or ETD?</t>
  </si>
  <si>
    <t xml:space="preserve">     &gt;    IC Transmission </t>
  </si>
  <si>
    <t>(Internal Calibrant pos mass 202)</t>
  </si>
  <si>
    <t>Cali/Negaive Ion Mode</t>
  </si>
  <si>
    <t xml:space="preserve">     &gt;    Run   -   All</t>
  </si>
  <si>
    <t>(Negative Calmix)</t>
  </si>
  <si>
    <t>Plan to use ETD?</t>
  </si>
  <si>
    <t xml:space="preserve">     &gt;    Reagent Transmission</t>
  </si>
  <si>
    <t xml:space="preserve">     &gt;    Reagent Source</t>
  </si>
  <si>
    <t>(while scanning "view reagent ion")</t>
  </si>
  <si>
    <t>(Infuse Angio I calmix)</t>
  </si>
  <si>
    <t xml:space="preserve">     &gt;    Reaction Kinetics w/ Angio</t>
  </si>
  <si>
    <t>(Enfurvitide)</t>
  </si>
  <si>
    <t xml:space="preserve">     &gt;    High Mass Range   -   Enfurvitide</t>
  </si>
  <si>
    <t>Plan to use Intact Protein Mode?</t>
  </si>
  <si>
    <t>Cali/ETD Extended/Intact Protein Mode</t>
  </si>
  <si>
    <t xml:space="preserve">     &gt;    Source to IRM</t>
  </si>
  <si>
    <t>(+/- Mss 202)</t>
  </si>
  <si>
    <t>Note: If this is to be run then insure the Negative Mode Calis in erlier stps have been completed</t>
  </si>
  <si>
    <t xml:space="preserve">Diag/Cali/Intact Protein Mode/High Mass Ragne </t>
  </si>
  <si>
    <t xml:space="preserve">     &gt;   IRM to C-trap cali</t>
  </si>
  <si>
    <t>Calibrations are now complete</t>
  </si>
  <si>
    <t>no</t>
  </si>
  <si>
    <t>No</t>
  </si>
  <si>
    <t>Diag/Cali/Cali file</t>
  </si>
  <si>
    <t xml:space="preserve">     &gt;     Save Cali file</t>
  </si>
  <si>
    <t xml:space="preserve">     &gt;   Quad Coarse Stability Map (Lumos)</t>
  </si>
  <si>
    <r>
      <t xml:space="preserve">     &gt;    Quadruople   -   All   </t>
    </r>
    <r>
      <rPr>
        <sz val="11"/>
        <color rgb="FFFF0000"/>
        <rFont val="Calibri"/>
        <family val="2"/>
        <scheme val="minor"/>
      </rPr>
      <t>refer to Note 1</t>
    </r>
  </si>
  <si>
    <t>(If this has recently been run and no optics beyond the API I/F stack or any electronics have been removed then this can be considered  optional step)</t>
  </si>
  <si>
    <t>Diagnostics:</t>
  </si>
  <si>
    <t>Diag/Hardware/Devices/Readbacks/Scan All</t>
  </si>
  <si>
    <t xml:space="preserve"> </t>
  </si>
  <si>
    <r>
      <t xml:space="preserve">     &gt;   Cali Source RF Scaling </t>
    </r>
    <r>
      <rPr>
        <sz val="9"/>
        <color theme="0" tint="-0.34998626667073579"/>
        <rFont val="Calibri"/>
        <family val="2"/>
        <scheme val="minor"/>
      </rPr>
      <t>(not required if the OT pAGC cali has been run and passed)</t>
    </r>
  </si>
  <si>
    <t xml:space="preserve">     &gt;    Evaluate Signal-to-Noise</t>
  </si>
  <si>
    <t>Diag/Cali/Coarse Cali</t>
  </si>
  <si>
    <t xml:space="preserve">     &gt;   Quad Automatic Coarse Mass</t>
  </si>
  <si>
    <r>
      <rPr>
        <b/>
        <sz val="11"/>
        <color theme="1"/>
        <rFont val="Calibri"/>
        <family val="2"/>
        <scheme val="minor"/>
      </rPr>
      <t>Cali</t>
    </r>
    <r>
      <rPr>
        <sz val="11"/>
        <color theme="1"/>
        <rFont val="Calibri"/>
        <family val="2"/>
        <scheme val="minor"/>
      </rPr>
      <t xml:space="preserve">     &gt;    run all IT cali checks and run those that fail</t>
    </r>
  </si>
  <si>
    <r>
      <rPr>
        <b/>
        <sz val="11"/>
        <color theme="1"/>
        <rFont val="Calibri"/>
        <family val="2"/>
        <scheme val="minor"/>
      </rPr>
      <t xml:space="preserve">Cali  </t>
    </r>
    <r>
      <rPr>
        <sz val="11"/>
        <color theme="1"/>
        <rFont val="Calibri"/>
        <family val="2"/>
        <scheme val="minor"/>
      </rPr>
      <t xml:space="preserve">   &gt;    run Quad Transmission Cali</t>
    </r>
  </si>
  <si>
    <r>
      <rPr>
        <b/>
        <sz val="11"/>
        <color theme="1"/>
        <rFont val="Calibri"/>
        <family val="2"/>
        <scheme val="minor"/>
      </rPr>
      <t>Cali</t>
    </r>
    <r>
      <rPr>
        <sz val="11"/>
        <color theme="1"/>
        <rFont val="Calibri"/>
        <family val="2"/>
        <scheme val="minor"/>
      </rPr>
      <t xml:space="preserve">     &gt;    run Quad Mass/Resolution Cali</t>
    </r>
  </si>
  <si>
    <r>
      <rPr>
        <b/>
        <sz val="11"/>
        <color theme="1"/>
        <rFont val="Calibri"/>
        <family val="2"/>
        <scheme val="minor"/>
      </rPr>
      <t>Cali</t>
    </r>
    <r>
      <rPr>
        <sz val="11"/>
        <color theme="1"/>
        <rFont val="Calibri"/>
        <family val="2"/>
        <scheme val="minor"/>
      </rPr>
      <t xml:space="preserve">     &gt;    run Quad Transmission Cali</t>
    </r>
  </si>
  <si>
    <r>
      <rPr>
        <b/>
        <sz val="11"/>
        <color theme="1"/>
        <rFont val="Calibri"/>
        <family val="2"/>
        <scheme val="minor"/>
      </rPr>
      <t xml:space="preserve">Cali </t>
    </r>
    <r>
      <rPr>
        <sz val="11"/>
        <color theme="1"/>
        <rFont val="Calibri"/>
        <family val="2"/>
        <scheme val="minor"/>
      </rPr>
      <t xml:space="preserve">    &gt;    run Wide Isolation Cali</t>
    </r>
  </si>
  <si>
    <r>
      <rPr>
        <b/>
        <sz val="11"/>
        <color theme="1"/>
        <rFont val="Calibri"/>
        <family val="2"/>
        <scheme val="minor"/>
      </rPr>
      <t>Cali</t>
    </r>
    <r>
      <rPr>
        <sz val="11"/>
        <color theme="1"/>
        <rFont val="Calibri"/>
        <family val="2"/>
        <scheme val="minor"/>
      </rPr>
      <t xml:space="preserve">     &gt;    rerun Ion Optics   -   All</t>
    </r>
  </si>
  <si>
    <r>
      <rPr>
        <b/>
        <sz val="11"/>
        <color theme="1"/>
        <rFont val="Calibri"/>
        <family val="2"/>
        <scheme val="minor"/>
      </rPr>
      <t>Cali</t>
    </r>
    <r>
      <rPr>
        <sz val="11"/>
        <color theme="1"/>
        <rFont val="Calibri"/>
        <family val="2"/>
        <scheme val="minor"/>
      </rPr>
      <t xml:space="preserve">     &gt;    run Ion Optics Cali  -  All</t>
    </r>
  </si>
  <si>
    <t>Diag/Cali/Main Cali/Optics  -  All</t>
  </si>
  <si>
    <t>Diag/Cali/Main Cali/Orbitrap</t>
  </si>
  <si>
    <t xml:space="preserve">     &gt;    Transmission</t>
  </si>
  <si>
    <t>Run Orbitrap Calibrations under Positive ion Mode    (Positive Calmix)</t>
  </si>
  <si>
    <t xml:space="preserve">     &gt;    Isotope Ratio</t>
  </si>
  <si>
    <t xml:space="preserve">     &gt;    Isotope Interactions</t>
  </si>
  <si>
    <t>ok ok, spray was not stellar, but you get the point</t>
  </si>
  <si>
    <t>&gt;  establish stable spray</t>
  </si>
  <si>
    <t>&gt;  make a backup of the current TNGCalFile.xmb</t>
  </si>
  <si>
    <t>&gt;  start infusing clean &amp; fresh Calmix</t>
  </si>
  <si>
    <t>last modified 2/15/2018</t>
  </si>
  <si>
    <r>
      <t xml:space="preserve">UNIVERSITY </t>
    </r>
    <r>
      <rPr>
        <i/>
        <sz val="14"/>
        <color indexed="63"/>
        <rFont val="Cambria"/>
        <family val="1"/>
      </rPr>
      <t>of</t>
    </r>
    <r>
      <rPr>
        <sz val="14"/>
        <color indexed="63"/>
        <rFont val="Cambria"/>
        <family val="1"/>
      </rPr>
      <t xml:space="preserve"> WASHINGTON      </t>
    </r>
  </si>
  <si>
    <t>Proteomics Resource</t>
  </si>
  <si>
    <t>Calibration tree for Fusion and Fusion Lumos instruments</t>
  </si>
  <si>
    <t>Calibration solutions</t>
  </si>
  <si>
    <t>LTQ</t>
  </si>
  <si>
    <t>OT Fuison/Lumos</t>
  </si>
  <si>
    <t>LTQ-FT</t>
  </si>
  <si>
    <t>OT Fuison</t>
  </si>
  <si>
    <t>TSQ Access</t>
  </si>
  <si>
    <t>Please make sure concentrations are correct for your application.</t>
  </si>
  <si>
    <t>Q Exactive (plus)</t>
  </si>
  <si>
    <t>LTQ-OrbitrapXL</t>
  </si>
  <si>
    <t>ETD</t>
  </si>
  <si>
    <t>high mass</t>
  </si>
  <si>
    <t>ECD/IRMPD</t>
  </si>
  <si>
    <t>TSQ Vantage</t>
  </si>
  <si>
    <t>Velos(Orbitrap)</t>
  </si>
  <si>
    <t>last updated:</t>
  </si>
  <si>
    <t>Positive</t>
  </si>
  <si>
    <t>Negative</t>
  </si>
  <si>
    <t>Caffeine (1mg/ml Methanol)</t>
  </si>
  <si>
    <t>µl</t>
  </si>
  <si>
    <t>MRFA diluted stock solution (166.7 pmol/µl  or  0.1mg/ml)</t>
  </si>
  <si>
    <t>Ultramark 1621 stock solution (1/1000 dilution)       (0.1% Ultramark in Acetonitrile)</t>
  </si>
  <si>
    <t>N-butylamine (5/1000 dilution) stock solution</t>
  </si>
  <si>
    <t>Acetic Acid glacial (use glass/ss syringe only)*</t>
  </si>
  <si>
    <t>Acetonitrile LCMS grade</t>
  </si>
  <si>
    <t>ml</t>
  </si>
  <si>
    <t>50:50 Methanol/Water LCMS grade</t>
  </si>
  <si>
    <t>Total</t>
  </si>
  <si>
    <t>SDS 1 nmol/µl</t>
  </si>
  <si>
    <t>Sodium taurocholate 1 nmol/µl</t>
  </si>
  <si>
    <r>
      <t>store at 4</t>
    </r>
    <r>
      <rPr>
        <vertAlign val="superscript"/>
        <sz val="10"/>
        <color indexed="8"/>
        <rFont val="Arial Narrow"/>
        <family val="2"/>
      </rPr>
      <t>o</t>
    </r>
    <r>
      <rPr>
        <sz val="11"/>
        <color theme="1"/>
        <rFont val="Calibri"/>
        <family val="2"/>
        <scheme val="minor"/>
      </rPr>
      <t>C or -20</t>
    </r>
    <r>
      <rPr>
        <vertAlign val="superscript"/>
        <sz val="10"/>
        <color indexed="8"/>
        <rFont val="Arial Narrow"/>
        <family val="2"/>
      </rPr>
      <t>o</t>
    </r>
    <r>
      <rPr>
        <sz val="11"/>
        <color theme="1"/>
        <rFont val="Calibri"/>
        <family val="2"/>
        <scheme val="minor"/>
      </rPr>
      <t>C until needed</t>
    </r>
  </si>
  <si>
    <t xml:space="preserve">*NOTE: use only glass pipettes or ss syringes when measuring acetic acid. </t>
  </si>
  <si>
    <t>Using plastic pipette tips causes contamination of acid stock solutions that can introduce contaminants into the calibration solution.</t>
  </si>
  <si>
    <t>Angiotensin l ( 1 pmol/ul)</t>
  </si>
  <si>
    <t>50:50 Methanol/Water + 0.1%acetic acid</t>
  </si>
  <si>
    <r>
      <t>store at -20</t>
    </r>
    <r>
      <rPr>
        <vertAlign val="superscript"/>
        <sz val="10"/>
        <color indexed="8"/>
        <rFont val="Arial Narrow"/>
        <family val="2"/>
      </rPr>
      <t>o</t>
    </r>
    <r>
      <rPr>
        <sz val="11"/>
        <color theme="1"/>
        <rFont val="Calibri"/>
        <family val="2"/>
        <scheme val="minor"/>
      </rPr>
      <t>C until needed</t>
    </r>
  </si>
  <si>
    <t>Enfuvirtide (10pmol/µl)</t>
  </si>
  <si>
    <t>Enfuvirtide stock solution ( 4.4mg/ml)</t>
  </si>
  <si>
    <t>50:50 Acetonitrile/Water</t>
  </si>
  <si>
    <t>Acetic acid (use glass syringe to measure)</t>
  </si>
  <si>
    <t>Vortex for 2 min and sonicate for 10 min</t>
  </si>
  <si>
    <r>
      <t>store at 4</t>
    </r>
    <r>
      <rPr>
        <vertAlign val="superscript"/>
        <sz val="10"/>
        <color indexed="8"/>
        <rFont val="Arial Narrow"/>
        <family val="2"/>
      </rPr>
      <t>o</t>
    </r>
    <r>
      <rPr>
        <sz val="11"/>
        <color theme="1"/>
        <rFont val="Calibri"/>
        <family val="2"/>
        <scheme val="minor"/>
      </rPr>
      <t>C until needed</t>
    </r>
  </si>
  <si>
    <t>Substance P (2 pmol/ul)</t>
  </si>
  <si>
    <t>Substance P stock solution (1 nmol/µl)</t>
  </si>
  <si>
    <t>50:50 Methanol/Water + 0.1% formic acid</t>
  </si>
  <si>
    <t>Polytyrosine-1,3,6</t>
  </si>
  <si>
    <t>L-Tyrosine (1 mg/250 ml  or  4 ng/µl)</t>
  </si>
  <si>
    <t>(make stock (0.4mg/ml) use 250 µl in 25 ml)</t>
  </si>
  <si>
    <t>Tyr-Tyr-Tyr (3 mg/250 ml  or  12 ng/µl)</t>
  </si>
  <si>
    <t>(make stock (0.3mg/ml) use 1 ml in 25 ml)</t>
  </si>
  <si>
    <t>(Tyr)6 (6 mg/250 ml  or  24 ng/µl)</t>
  </si>
  <si>
    <t>(make stock (0.6mg/ml) use 1 ml in 25 ml)</t>
  </si>
  <si>
    <t>Commercial Calmix from Pierce ($ 150.- per 10 ml bottle)</t>
  </si>
  <si>
    <t xml:space="preserve">LTQ, LTQ Orbitrap, </t>
  </si>
  <si>
    <t xml:space="preserve">LTQ Velos/Pro, </t>
  </si>
  <si>
    <t xml:space="preserve">LTQ, LTQ Velos/Pro, </t>
  </si>
  <si>
    <t xml:space="preserve">TSQ Quantum, TSQ Discovery, </t>
  </si>
  <si>
    <t>LXQ, LCQ FLEET,</t>
  </si>
  <si>
    <t xml:space="preserve">LTQ Orbitrap Velos/Pro, </t>
  </si>
  <si>
    <t xml:space="preserve">LTQ Orbitrap,  LTQ Orbitrap Velos/Pro, </t>
  </si>
  <si>
    <t>TSQ Quantum Access,</t>
  </si>
  <si>
    <t>Exactive</t>
  </si>
  <si>
    <t>Orbitrap Elite,</t>
  </si>
  <si>
    <t xml:space="preserve">TSQ Vantage, TSQ Endura, </t>
  </si>
  <si>
    <t>Q Exactive series</t>
  </si>
  <si>
    <t>TSQ Quantiva</t>
  </si>
  <si>
    <t>Orbitrap Fusion Tribrid</t>
  </si>
  <si>
    <t>Please make sure concentraions are correct for your application.</t>
  </si>
  <si>
    <t>Materials</t>
  </si>
  <si>
    <t>Vendor</t>
  </si>
  <si>
    <t>part#</t>
  </si>
  <si>
    <t>g/mol</t>
  </si>
  <si>
    <t>www</t>
  </si>
  <si>
    <t>Sigma</t>
  </si>
  <si>
    <t>C6035-1ML</t>
  </si>
  <si>
    <t>http://www.sigmaaldrich.com</t>
  </si>
  <si>
    <t>Caffeine (solid)</t>
  </si>
  <si>
    <t>C1778-5VL</t>
  </si>
  <si>
    <t>MRFA</t>
  </si>
  <si>
    <t>Research Plus Inc.</t>
  </si>
  <si>
    <t>13-4794-02</t>
  </si>
  <si>
    <t>www.researchplus.com</t>
  </si>
  <si>
    <t>M1170-5MG</t>
  </si>
  <si>
    <t>Fisher</t>
  </si>
  <si>
    <t xml:space="preserve">NC9634265 </t>
  </si>
  <si>
    <t>www.FisherLCMS.com</t>
  </si>
  <si>
    <t>Ultramark 1621 (neat liquid)</t>
  </si>
  <si>
    <t>Lancaster Synthesis</t>
  </si>
  <si>
    <t>www.lancastersynthesis.com</t>
  </si>
  <si>
    <t>ABCR GmbH&amp;Co.KG</t>
  </si>
  <si>
    <t>AB172435</t>
  </si>
  <si>
    <t>Butylamine, 99.5%</t>
  </si>
  <si>
    <t>471305-25ML</t>
  </si>
  <si>
    <t>SDS</t>
  </si>
  <si>
    <t>L4509-10G</t>
  </si>
  <si>
    <t>Sodium taurocholate</t>
  </si>
  <si>
    <t>T4009-250MG</t>
  </si>
  <si>
    <t>Substance P</t>
  </si>
  <si>
    <t>S6883-1MG</t>
  </si>
  <si>
    <t>Angiotensin l</t>
  </si>
  <si>
    <t>A9650</t>
  </si>
  <si>
    <t>Enfuvirtide lyophilized powder (old #06-663-46079) 90mg</t>
  </si>
  <si>
    <t>Genway</t>
  </si>
  <si>
    <t>GWB-3C5079</t>
  </si>
  <si>
    <t>http://www.genwaybio.com/</t>
  </si>
  <si>
    <t>Enfuvirtide acetate salt 5mg</t>
  </si>
  <si>
    <t>sigma</t>
  </si>
  <si>
    <t>SML0934-5MG</t>
  </si>
  <si>
    <t>L-Tyrosine</t>
  </si>
  <si>
    <t>T8566</t>
  </si>
  <si>
    <t>Tyr-Tyr-Tyr</t>
  </si>
  <si>
    <t>T2007</t>
  </si>
  <si>
    <t>(Tyr)6</t>
  </si>
  <si>
    <t>T1780</t>
  </si>
  <si>
    <t>Note: Always use dedicated solvents for all your LC-MS/MS applications!</t>
  </si>
  <si>
    <t>Never use pipet tips or any plastic pipets to transfer solvents, particularly for the acids!! You will contaminate the stocks as well as all the buffers made from those stocks.</t>
  </si>
  <si>
    <t>For best results use glass pipets or glass syringes with stainless steel needle (rinse immediatly after use to avoid corrosion).</t>
  </si>
  <si>
    <t>Formic acid LCMS Grade</t>
  </si>
  <si>
    <t>A117-50</t>
  </si>
  <si>
    <t>Acetic Acid glacial  LCMS Grade</t>
  </si>
  <si>
    <t>A507-500 or A35-500</t>
  </si>
  <si>
    <t>Water LCMS Grade</t>
  </si>
  <si>
    <t>W6-1 or W6-4</t>
  </si>
  <si>
    <t>Acetonitrile Optima LCMS Grade</t>
  </si>
  <si>
    <t>A955-1 or A955-4</t>
  </si>
  <si>
    <t>Methanol LCMS Grade</t>
  </si>
  <si>
    <t>A456-1 or A456-4</t>
  </si>
  <si>
    <t>Isopropanol LCMS Grade</t>
  </si>
  <si>
    <t>A461-1 or A461-4</t>
  </si>
  <si>
    <t>1% acetic acid in Methanol</t>
  </si>
  <si>
    <t>50:50 Methanol/Water</t>
  </si>
  <si>
    <t>0.1% formic acid in 50:50 Methanol/Water</t>
  </si>
  <si>
    <t>1% acetic acid in 50:50 Methanol/Water</t>
  </si>
  <si>
    <t>Stock Solutions</t>
  </si>
  <si>
    <r>
      <t xml:space="preserve">Caffeine </t>
    </r>
    <r>
      <rPr>
        <sz val="12"/>
        <color indexed="8"/>
        <rFont val="Arial Narrow"/>
        <family val="2"/>
      </rPr>
      <t>(1 mg/mL caffeine in methanol)</t>
    </r>
  </si>
  <si>
    <t>LTQ-Velos</t>
  </si>
  <si>
    <t>LTQ-Orbitrap</t>
  </si>
  <si>
    <t>TSQ</t>
  </si>
  <si>
    <t>OR</t>
  </si>
  <si>
    <t>mg</t>
  </si>
  <si>
    <t>Methanol LCMS</t>
  </si>
  <si>
    <r>
      <t xml:space="preserve">MRFA </t>
    </r>
    <r>
      <rPr>
        <sz val="12"/>
        <color indexed="8"/>
        <rFont val="Arial Narrow"/>
        <family val="2"/>
      </rPr>
      <t>(166.7 pmol/µl MRFA in 50:50 methanol:water)</t>
    </r>
  </si>
  <si>
    <t>MRFA (solid)</t>
  </si>
  <si>
    <t xml:space="preserve">50:50 Methanol/Water </t>
  </si>
  <si>
    <t>MRFA stock solution (5nmol/µl  or  3 mg/ml)</t>
  </si>
  <si>
    <r>
      <t>Ultramark 1621</t>
    </r>
    <r>
      <rPr>
        <sz val="12"/>
        <color indexed="8"/>
        <rFont val="Arial Narrow"/>
        <family val="2"/>
      </rPr>
      <t xml:space="preserve"> (0.1% Ultramark in Acetonitrile)</t>
    </r>
  </si>
  <si>
    <t>Ultramark 1621</t>
  </si>
  <si>
    <t>Acetonitrile</t>
  </si>
  <si>
    <t>Ultramark 1621 stock solution (0.1% Ultramark in Acetonitrile)</t>
  </si>
  <si>
    <r>
      <t>N-butylamine</t>
    </r>
    <r>
      <rPr>
        <sz val="12"/>
        <color indexed="8"/>
        <rFont val="Arial Narrow"/>
        <family val="2"/>
      </rPr>
      <t xml:space="preserve"> (5/1000 dilution)</t>
    </r>
  </si>
  <si>
    <t>47205-25ml</t>
  </si>
  <si>
    <r>
      <t>SDS</t>
    </r>
    <r>
      <rPr>
        <sz val="12"/>
        <color indexed="8"/>
        <rFont val="Arial Narrow"/>
        <family val="2"/>
      </rPr>
      <t xml:space="preserve"> (1 nmol/ul)</t>
    </r>
  </si>
  <si>
    <t>SDS (2.88mg/10ml)</t>
  </si>
  <si>
    <t>SDS stock solution (1 nmol/µl)</t>
  </si>
  <si>
    <r>
      <t>Sodioum taurocholate</t>
    </r>
    <r>
      <rPr>
        <sz val="12"/>
        <color indexed="8"/>
        <rFont val="Arial Narrow"/>
        <family val="2"/>
      </rPr>
      <t xml:space="preserve"> (1 nmol/ul)</t>
    </r>
  </si>
  <si>
    <t>Sodium taurocholate (5.38mg/10ml)</t>
  </si>
  <si>
    <t>Sodioum taurocholate stock solution (1 nmol/µl)</t>
  </si>
  <si>
    <r>
      <t>Substance P</t>
    </r>
    <r>
      <rPr>
        <sz val="12"/>
        <color indexed="8"/>
        <rFont val="Arial Narrow"/>
        <family val="2"/>
      </rPr>
      <t xml:space="preserve"> (2 pmol/ul)</t>
    </r>
  </si>
  <si>
    <t>Substance P (1mg / 715µl)</t>
  </si>
  <si>
    <r>
      <t>Arg-Pro-Lys-Pro-Gln-Gln-Phe-Phe-Gly-Leu-Met-NH</t>
    </r>
    <r>
      <rPr>
        <vertAlign val="subscript"/>
        <sz val="8"/>
        <color indexed="8"/>
        <rFont val="Arial Narrow"/>
        <family val="2"/>
      </rPr>
      <t>2</t>
    </r>
  </si>
  <si>
    <r>
      <t>Angiotensin l</t>
    </r>
    <r>
      <rPr>
        <sz val="12"/>
        <color indexed="8"/>
        <rFont val="Arial Narrow"/>
        <family val="2"/>
      </rPr>
      <t xml:space="preserve"> (1 pmol/ul)</t>
    </r>
  </si>
  <si>
    <r>
      <t>Asp-Arg-Val-Tyr-Ile-His-Pro-Phe-His-Leu-OH.2CH</t>
    </r>
    <r>
      <rPr>
        <vertAlign val="subscript"/>
        <sz val="8"/>
        <color indexed="60"/>
        <rFont val="Arial"/>
        <family val="2"/>
      </rPr>
      <t>3</t>
    </r>
    <r>
      <rPr>
        <sz val="9"/>
        <color indexed="60"/>
        <rFont val="Arial"/>
        <family val="2"/>
      </rPr>
      <t>COOH.6H</t>
    </r>
    <r>
      <rPr>
        <vertAlign val="subscript"/>
        <sz val="8"/>
        <color indexed="60"/>
        <rFont val="Arial"/>
        <family val="2"/>
      </rPr>
      <t>2</t>
    </r>
    <r>
      <rPr>
        <sz val="9"/>
        <color indexed="60"/>
        <rFont val="Arial"/>
        <family val="2"/>
      </rPr>
      <t>O</t>
    </r>
  </si>
  <si>
    <t xml:space="preserve">Angiotensin l </t>
  </si>
  <si>
    <t>50:50 Methanol/Water + 1% acetic acid</t>
  </si>
  <si>
    <t>Angiotensin l stock solution (1 nmol/µl)</t>
  </si>
  <si>
    <t>nmol/µl</t>
  </si>
  <si>
    <t>50:50 Methanol/Water + 0.1% acetic acid</t>
  </si>
  <si>
    <t>Angiotensin l (1 pmol/ul)</t>
  </si>
  <si>
    <t>Enfuvirtide</t>
  </si>
  <si>
    <t>Ac-Tyr-Thr-Ser-Leu-Ile-His-Ser-Leu- Ile-Glu-Glu-Ser-Gln-Asn-Gln-Gln-Glu- Lys-Asn-Glu-Gln-Glu-Leu-Leu-Glu- Leu-Asp-Lys-Trp-Ala-Ser-Leu-Trp-Asn-Trp-Phe-NH2 acetate</t>
  </si>
  <si>
    <t>Enfuvirtide (22mg / 5 ml)</t>
  </si>
  <si>
    <t>Enfuvirtide working solution</t>
  </si>
  <si>
    <t>pmol/µl</t>
  </si>
  <si>
    <t>Please confirm the correct concentration and buffer with the installing Thermo engineer</t>
  </si>
  <si>
    <t>Only needed during Installation of new Thermo Instruments</t>
  </si>
  <si>
    <t>LTQ XL</t>
  </si>
  <si>
    <t>TSQ Ultra</t>
  </si>
  <si>
    <t>Reserpine</t>
  </si>
  <si>
    <t>R0875</t>
  </si>
  <si>
    <t>Acetic Acid glacial  LCMS</t>
  </si>
  <si>
    <t>Water LCMS</t>
  </si>
  <si>
    <t>Acetonitrile Optima LCMS</t>
  </si>
  <si>
    <t>1% acetic acid in methanol</t>
  </si>
  <si>
    <t>Reserpine solution</t>
  </si>
  <si>
    <t>Reserpine(1 μg/μL)</t>
  </si>
  <si>
    <t>µg/µl</t>
  </si>
  <si>
    <t>Reserpine Stock Solution (1 μg/μL)</t>
  </si>
  <si>
    <t>Note it is hard to dissolve Reserpine, increase acid concentration and sonicate until completely dissolved.</t>
  </si>
  <si>
    <t>Reserpine (1 ng/μL)</t>
  </si>
  <si>
    <t>ng/µl</t>
  </si>
  <si>
    <t>Reserpine (1 µg/µl)</t>
  </si>
  <si>
    <t>Reserpine (10 pg/μL)</t>
  </si>
  <si>
    <t>pg/µl</t>
  </si>
  <si>
    <t>fmol/µl</t>
  </si>
  <si>
    <t>Reserpine (1 pg/μL)</t>
  </si>
  <si>
    <t>Reserpine (1 ng/µl)</t>
  </si>
  <si>
    <t>Reserpine (250 fg/μL)</t>
  </si>
  <si>
    <t>fg/µl</t>
  </si>
  <si>
    <t>amol/µl</t>
  </si>
  <si>
    <t>Reserpine (1 pg/µl)</t>
  </si>
  <si>
    <t>Reserpine (200 fg/μL)</t>
  </si>
  <si>
    <t>Reserpine (125 fg/µl)</t>
  </si>
  <si>
    <t>Reserpine (100 fg/μL)</t>
  </si>
  <si>
    <t>Reserpine (50 fg/μL)</t>
  </si>
  <si>
    <t>Q Exactive</t>
  </si>
  <si>
    <t>Buspirone</t>
  </si>
  <si>
    <t>B7148-1G</t>
  </si>
  <si>
    <t>For all dilutions “MS-Grade” solvents are mandatory.</t>
  </si>
  <si>
    <t>1% Acetic Acid in MeOH</t>
  </si>
  <si>
    <t>Formic Acid LCMS Grade</t>
  </si>
  <si>
    <t>75% MeOH, 0.1% Formic Acid in Water</t>
  </si>
  <si>
    <t>L</t>
  </si>
  <si>
    <t>Buspirone solution</t>
  </si>
  <si>
    <t>Note you'll need two Spec solutions: 100 fg/µl and 10 fg/µl</t>
  </si>
  <si>
    <t>Thermo's recipe:</t>
  </si>
  <si>
    <t>How I do it…</t>
  </si>
  <si>
    <t>SOLVENT: 75% MeOH, 0.1% Formic Acid (FA) in MS/Grade Water</t>
  </si>
  <si>
    <t>Buspirone (solid)</t>
  </si>
  <si>
    <t>1. Prepare the 1 mg/mL buspirone solution:</t>
  </si>
  <si>
    <t>a. Add 100 mg of buspirone to a 100 mL volumetric flask.</t>
  </si>
  <si>
    <t>Buspirone (1 mg/mL)</t>
  </si>
  <si>
    <t>mg/ml</t>
  </si>
  <si>
    <t>nmol/ml</t>
  </si>
  <si>
    <t>b. Fill the 100 mL flask to volume with a solution of methanol containing 1% acetic acid. Mix the contents thoroughly.</t>
  </si>
  <si>
    <t>2. Prepare a 10 ng/μL buspirone solution (1:100 dilution of 1.):</t>
  </si>
  <si>
    <t>a. Fill 10 uL of 1 mg/mL Stock solution in a 1.5 mL cap (use volumetric pipette)</t>
  </si>
  <si>
    <t>Buspirone (10 ng/µL)</t>
  </si>
  <si>
    <t>b. Add 990 uL of SOLVENT. Mix the contents thoroughly.</t>
  </si>
  <si>
    <t>3. Prepare a 100 pg/μL buspirone solution(1:100 dilution of 2.):</t>
  </si>
  <si>
    <t>a. Fill 10 uL of 2. step solution (10 ng/μL) in a 1.5 mL cap (use volumetric pipette).</t>
  </si>
  <si>
    <t>Buspirone (100 pg/µL)</t>
  </si>
  <si>
    <t>4. Prepare a 1 pg/μL buspirone solution (1:100 dilution of 3.):</t>
  </si>
  <si>
    <t>a. Fill 10 uL of 3. step solution (100pg pg/μL) in a 1.5 mL cap (use volumetric pipette).</t>
  </si>
  <si>
    <t>Buspirone (1 pg/µL)</t>
  </si>
  <si>
    <t>Sample: 100 fg/μL buspirone Specification Solution</t>
  </si>
  <si>
    <t>5. Prepare the 100 fg/μL buspirone solution (1:10 dilution of 4.):</t>
  </si>
  <si>
    <t>a. Fill 100 uL 4. step solution (1pg pg/μL) in a 1.5 mL cap (use volumetric pipette).</t>
  </si>
  <si>
    <t>Buspirone (100 fg/µL)</t>
  </si>
  <si>
    <t>b. Add 900 uL of SOLVENT. Mix the contents thoroughly.</t>
  </si>
  <si>
    <t>Sample: 10 fg/μL buspirone Specification Solution</t>
  </si>
  <si>
    <t>6. Prepare the 10 fg/μL buspirone solution (1:100 dilution of 4.)</t>
  </si>
  <si>
    <t>a. Fill 10ul 4. step solution (1pg pg/μL) in a 1.5 mL cap (use volumetric pipette).</t>
  </si>
  <si>
    <t>Buspirone (10 fg/µL)</t>
  </si>
  <si>
    <t>b. Add 990 ul of Solvent. Mix content thoroughly.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</si>
</sst>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quot;$&quot;#,##0.00"/>
    <numFmt numFmtId="165" formatCode="0.000"/>
    <numFmt numFmtId="166" formatCode="0.0"/>
  </numFmts>
  <fonts count="49" x14ac:knownFonts="1">
    <font>
      <sz val="11"/>
      <color theme="1"/>
      <name val="Calibri"/>
      <family val="2"/>
      <scheme val="minor"/>
    </font>
    <font>
      <sz val="11"/>
      <color rgb="FFFF0000"/>
      <name val="Calibri"/>
      <family val="2"/>
      <scheme val="minor"/>
    </font>
    <font>
      <b/>
      <sz val="11"/>
      <color theme="1"/>
      <name val="Calibri"/>
      <family val="2"/>
      <scheme val="minor"/>
    </font>
    <font>
      <sz val="8"/>
      <color theme="1"/>
      <name val="Calibri"/>
      <family val="2"/>
      <scheme val="minor"/>
    </font>
    <font>
      <u/>
      <sz val="11"/>
      <color theme="10"/>
      <name val="Calibri"/>
      <family val="2"/>
      <scheme val="minor"/>
    </font>
    <font>
      <sz val="9"/>
      <color theme="0" tint="-0.34998626667073579"/>
      <name val="Calibri"/>
      <family val="2"/>
      <scheme val="minor"/>
    </font>
    <font>
      <sz val="9"/>
      <color indexed="81"/>
      <name val="Tahoma"/>
      <family val="2"/>
    </font>
    <font>
      <sz val="12"/>
      <color theme="0"/>
      <name val="Calibri"/>
      <family val="2"/>
      <scheme val="minor"/>
    </font>
    <font>
      <sz val="14"/>
      <color rgb="FF292934"/>
      <name val="Cambria"/>
      <family val="1"/>
    </font>
    <font>
      <i/>
      <sz val="14"/>
      <color indexed="63"/>
      <name val="Cambria"/>
      <family val="1"/>
    </font>
    <font>
      <sz val="14"/>
      <color indexed="63"/>
      <name val="Cambria"/>
      <family val="1"/>
    </font>
    <font>
      <b/>
      <i/>
      <sz val="12"/>
      <color rgb="FF292934"/>
      <name val="Cambria"/>
      <family val="1"/>
    </font>
    <font>
      <b/>
      <i/>
      <sz val="20"/>
      <color theme="1"/>
      <name val="Calibri"/>
      <family val="2"/>
      <scheme val="minor"/>
    </font>
    <font>
      <sz val="10"/>
      <color theme="1"/>
      <name val="Arial Narrow"/>
      <family val="2"/>
    </font>
    <font>
      <b/>
      <sz val="14"/>
      <color indexed="8"/>
      <name val="Arial Narrow"/>
      <family val="2"/>
    </font>
    <font>
      <b/>
      <sz val="10"/>
      <color indexed="8"/>
      <name val="Arial Narrow"/>
      <family val="2"/>
    </font>
    <font>
      <b/>
      <sz val="10"/>
      <color theme="1"/>
      <name val="Arial Narrow"/>
      <family val="2"/>
    </font>
    <font>
      <sz val="10"/>
      <color indexed="8"/>
      <name val="Arial Narrow"/>
      <family val="2"/>
    </font>
    <font>
      <i/>
      <sz val="10"/>
      <color indexed="8"/>
      <name val="Arial Narrow"/>
      <family val="2"/>
    </font>
    <font>
      <i/>
      <sz val="10"/>
      <color theme="1"/>
      <name val="Arial Narrow"/>
      <family val="2"/>
    </font>
    <font>
      <u/>
      <sz val="10"/>
      <color indexed="12"/>
      <name val="Arial Narrow"/>
      <family val="2"/>
    </font>
    <font>
      <vertAlign val="superscript"/>
      <sz val="10"/>
      <color indexed="8"/>
      <name val="Arial Narrow"/>
      <family val="2"/>
    </font>
    <font>
      <b/>
      <sz val="10"/>
      <color indexed="10"/>
      <name val="Arial Narrow"/>
      <family val="2"/>
    </font>
    <font>
      <b/>
      <u/>
      <sz val="14"/>
      <color indexed="12"/>
      <name val="Arial Narrow"/>
      <family val="2"/>
    </font>
    <font>
      <b/>
      <i/>
      <sz val="12"/>
      <color theme="1"/>
      <name val="Arial Narrow"/>
      <family val="2"/>
    </font>
    <font>
      <b/>
      <sz val="12"/>
      <color theme="1"/>
      <name val="Arial Narrow"/>
      <family val="2"/>
    </font>
    <font>
      <b/>
      <sz val="12"/>
      <color indexed="8"/>
      <name val="Arial Narrow"/>
      <family val="2"/>
    </font>
    <font>
      <b/>
      <sz val="10"/>
      <name val="Arial Narrow"/>
      <family val="2"/>
    </font>
    <font>
      <sz val="10"/>
      <color theme="0" tint="-0.249977111117893"/>
      <name val="Arial Narrow"/>
      <family val="2"/>
    </font>
    <font>
      <b/>
      <sz val="12"/>
      <color rgb="FFFF0000"/>
      <name val="Arial Narrow"/>
      <family val="2"/>
    </font>
    <font>
      <b/>
      <u/>
      <sz val="12"/>
      <color indexed="12"/>
      <name val="Arial Narrow"/>
      <family val="2"/>
    </font>
    <font>
      <b/>
      <sz val="14"/>
      <color rgb="FFFF0000"/>
      <name val="Arial Narrow"/>
      <family val="2"/>
    </font>
    <font>
      <sz val="14"/>
      <color rgb="FFC00000"/>
      <name val="Arial Narrow"/>
      <family val="2"/>
    </font>
    <font>
      <sz val="14"/>
      <color theme="1"/>
      <name val="Arial Narrow"/>
      <family val="2"/>
    </font>
    <font>
      <sz val="12"/>
      <color indexed="8"/>
      <name val="Arial Narrow"/>
      <family val="2"/>
    </font>
    <font>
      <b/>
      <u/>
      <sz val="10"/>
      <color indexed="8"/>
      <name val="Arial Narrow"/>
      <family val="2"/>
    </font>
    <font>
      <sz val="10"/>
      <color indexed="12"/>
      <name val="Arial Narrow"/>
      <family val="2"/>
    </font>
    <font>
      <sz val="10"/>
      <name val="Arial Narrow"/>
      <family val="2"/>
    </font>
    <font>
      <sz val="8"/>
      <color theme="1"/>
      <name val="Arial Narrow"/>
      <family val="2"/>
    </font>
    <font>
      <vertAlign val="subscript"/>
      <sz val="8"/>
      <color indexed="8"/>
      <name val="Arial Narrow"/>
      <family val="2"/>
    </font>
    <font>
      <sz val="9"/>
      <color rgb="FF665E58"/>
      <name val="Arial"/>
      <family val="2"/>
    </font>
    <font>
      <vertAlign val="subscript"/>
      <sz val="8"/>
      <color indexed="60"/>
      <name val="Arial"/>
      <family val="2"/>
    </font>
    <font>
      <sz val="9"/>
      <color indexed="60"/>
      <name val="Arial"/>
      <family val="2"/>
    </font>
    <font>
      <b/>
      <sz val="10"/>
      <color theme="0" tint="-0.249977111117893"/>
      <name val="Arial Narrow"/>
      <family val="2"/>
    </font>
    <font>
      <sz val="8"/>
      <color indexed="81"/>
      <name val="Tahoma"/>
      <family val="2"/>
    </font>
    <font>
      <sz val="10"/>
      <color rgb="FF7030A0"/>
      <name val="Arial Narrow"/>
      <family val="2"/>
    </font>
    <font>
      <sz val="10"/>
      <color theme="0" tint="-0.499984740745262"/>
      <name val="Arial Narrow"/>
      <family val="2"/>
    </font>
    <font>
      <b/>
      <sz val="10"/>
      <color rgb="FFFF0000"/>
      <name val="Arial Narrow"/>
      <family val="2"/>
    </font>
    <font>
      <b/>
      <sz val="10"/>
      <color theme="0" tint="-0.499984740745262"/>
      <name val="Arial Narrow"/>
      <family val="2"/>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499984740745262"/>
        <bgColor indexed="64"/>
      </patternFill>
    </fill>
    <fill>
      <patternFill patternType="solid">
        <fgColor indexed="31"/>
        <bgColor indexed="64"/>
      </patternFill>
    </fill>
  </fills>
  <borders count="3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style="medium">
        <color indexed="64"/>
      </left>
      <right/>
      <top style="double">
        <color indexed="64"/>
      </top>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s>
  <cellStyleXfs count="4">
    <xf numFmtId="0" fontId="0" fillId="0" borderId="0"/>
    <xf numFmtId="0" fontId="4" fillId="0" borderId="0" applyNumberFormat="0" applyFill="0" applyBorder="0" applyAlignment="0" applyProtection="0"/>
    <xf numFmtId="0" fontId="13" fillId="0" borderId="0"/>
    <xf numFmtId="0" fontId="20" fillId="0" borderId="0" applyNumberFormat="0" applyFill="0" applyBorder="0" applyAlignment="0" applyProtection="0">
      <alignment vertical="top"/>
      <protection locked="0"/>
    </xf>
  </cellStyleXfs>
  <cellXfs count="268">
    <xf numFmtId="0" fontId="0" fillId="0" borderId="0" xfId="0"/>
    <xf numFmtId="0" fontId="0" fillId="2" borderId="0" xfId="0" applyFill="1"/>
    <xf numFmtId="0" fontId="0" fillId="4" borderId="0" xfId="0" applyNumberFormat="1" applyFill="1" applyAlignment="1">
      <alignment wrapText="1"/>
    </xf>
    <xf numFmtId="0" fontId="0" fillId="3" borderId="0" xfId="0" applyFill="1"/>
    <xf numFmtId="0" fontId="0" fillId="5" borderId="0" xfId="0" applyNumberFormat="1" applyFill="1" applyAlignment="1">
      <alignment wrapText="1"/>
    </xf>
    <xf numFmtId="0" fontId="0" fillId="5" borderId="0" xfId="0" applyFill="1"/>
    <xf numFmtId="0" fontId="1" fillId="2" borderId="0" xfId="0" applyFont="1" applyFill="1"/>
    <xf numFmtId="0" fontId="1" fillId="3" borderId="0" xfId="0" applyFont="1" applyFill="1"/>
    <xf numFmtId="0" fontId="2" fillId="3" borderId="0" xfId="0" applyFont="1" applyFill="1"/>
    <xf numFmtId="0" fontId="0" fillId="3" borderId="0" xfId="0" applyFill="1" applyAlignment="1">
      <alignment vertical="top"/>
    </xf>
    <xf numFmtId="0" fontId="2" fillId="3" borderId="0" xfId="0" applyFont="1" applyFill="1" applyAlignment="1">
      <alignment vertical="top"/>
    </xf>
    <xf numFmtId="0" fontId="1" fillId="3" borderId="0" xfId="0" applyFont="1" applyFill="1" applyAlignment="1">
      <alignment vertical="top" wrapText="1"/>
    </xf>
    <xf numFmtId="0" fontId="0" fillId="3" borderId="0" xfId="0" applyFill="1" applyAlignment="1">
      <alignment wrapText="1"/>
    </xf>
    <xf numFmtId="0" fontId="0" fillId="4" borderId="0" xfId="0" applyFill="1"/>
    <xf numFmtId="0" fontId="2" fillId="5" borderId="0" xfId="0" applyNumberFormat="1" applyFont="1" applyFill="1" applyAlignment="1">
      <alignment wrapText="1"/>
    </xf>
    <xf numFmtId="0" fontId="0" fillId="4" borderId="0" xfId="0" applyFill="1" applyAlignment="1">
      <alignment wrapText="1"/>
    </xf>
    <xf numFmtId="0" fontId="2" fillId="5" borderId="0" xfId="0" applyNumberFormat="1" applyFont="1" applyFill="1" applyAlignment="1">
      <alignment vertical="center" wrapText="1"/>
    </xf>
    <xf numFmtId="0" fontId="0" fillId="2" borderId="0" xfId="0" applyFill="1" applyAlignment="1">
      <alignment vertical="center"/>
    </xf>
    <xf numFmtId="0" fontId="0" fillId="0" borderId="0" xfId="0" applyFill="1" applyAlignment="1">
      <alignment wrapText="1"/>
    </xf>
    <xf numFmtId="0" fontId="0" fillId="9" borderId="0" xfId="0" applyFill="1"/>
    <xf numFmtId="0" fontId="0" fillId="2" borderId="0" xfId="0" applyFill="1" applyAlignment="1">
      <alignment horizontal="center"/>
    </xf>
    <xf numFmtId="0" fontId="0" fillId="2" borderId="0" xfId="0" applyFill="1" applyAlignment="1">
      <alignment horizontal="center" vertical="top"/>
    </xf>
    <xf numFmtId="0" fontId="1" fillId="3" borderId="0" xfId="0" applyFont="1" applyFill="1" applyAlignment="1">
      <alignment horizontal="right"/>
    </xf>
    <xf numFmtId="0" fontId="0" fillId="2" borderId="1" xfId="0" applyFill="1" applyBorder="1"/>
    <xf numFmtId="0" fontId="0" fillId="2" borderId="2" xfId="0" applyFill="1" applyBorder="1"/>
    <xf numFmtId="0" fontId="0" fillId="3" borderId="2" xfId="0" applyFill="1" applyBorder="1"/>
    <xf numFmtId="0" fontId="2" fillId="3" borderId="2" xfId="0" applyFont="1" applyFill="1" applyBorder="1"/>
    <xf numFmtId="0" fontId="0" fillId="5" borderId="2" xfId="0" applyFill="1" applyBorder="1"/>
    <xf numFmtId="0" fontId="0" fillId="5" borderId="3" xfId="0" applyFill="1" applyBorder="1"/>
    <xf numFmtId="0" fontId="0" fillId="3" borderId="0" xfId="0" applyNumberFormat="1" applyFill="1" applyAlignment="1">
      <alignment vertical="top" wrapText="1"/>
    </xf>
    <xf numFmtId="0" fontId="0" fillId="3" borderId="0" xfId="0" applyFill="1" applyAlignment="1">
      <alignment vertical="center"/>
    </xf>
    <xf numFmtId="0" fontId="0" fillId="3" borderId="0" xfId="0" applyFill="1" applyAlignment="1">
      <alignment horizontal="left" wrapText="1"/>
    </xf>
    <xf numFmtId="0" fontId="1" fillId="3" borderId="2" xfId="0" applyFont="1" applyFill="1" applyBorder="1"/>
    <xf numFmtId="0" fontId="0" fillId="5" borderId="2" xfId="0" applyNumberFormat="1" applyFill="1" applyBorder="1" applyAlignment="1">
      <alignment vertical="center" wrapText="1"/>
    </xf>
    <xf numFmtId="0" fontId="7" fillId="10" borderId="0" xfId="0" applyFont="1" applyFill="1"/>
    <xf numFmtId="14" fontId="0" fillId="2" borderId="0" xfId="0" applyNumberFormat="1" applyFill="1"/>
    <xf numFmtId="0" fontId="0" fillId="2" borderId="4" xfId="0" applyFill="1" applyBorder="1"/>
    <xf numFmtId="0" fontId="8" fillId="2" borderId="4" xfId="0" applyFont="1" applyFill="1" applyBorder="1" applyAlignment="1">
      <alignment horizontal="right" vertical="center" readingOrder="1"/>
    </xf>
    <xf numFmtId="0" fontId="11" fillId="2" borderId="4" xfId="0" applyFont="1" applyFill="1" applyBorder="1" applyAlignment="1">
      <alignment horizontal="right" vertical="center" readingOrder="1"/>
    </xf>
    <xf numFmtId="0" fontId="12" fillId="2" borderId="0" xfId="0" applyFont="1" applyFill="1"/>
    <xf numFmtId="0" fontId="13" fillId="2" borderId="0" xfId="2" applyFill="1" applyBorder="1"/>
    <xf numFmtId="0" fontId="13" fillId="0" borderId="0" xfId="2" applyBorder="1"/>
    <xf numFmtId="0" fontId="8" fillId="2" borderId="0" xfId="2" applyFont="1" applyFill="1" applyAlignment="1">
      <alignment horizontal="right" vertical="center" readingOrder="1"/>
    </xf>
    <xf numFmtId="0" fontId="11" fillId="2" borderId="0" xfId="2" applyFont="1" applyFill="1" applyAlignment="1">
      <alignment horizontal="right" vertical="center" readingOrder="1"/>
    </xf>
    <xf numFmtId="0" fontId="14" fillId="7" borderId="5" xfId="2" applyFont="1" applyFill="1" applyBorder="1"/>
    <xf numFmtId="0" fontId="13" fillId="7" borderId="6" xfId="2" applyFill="1" applyBorder="1"/>
    <xf numFmtId="0" fontId="15" fillId="7" borderId="7" xfId="2" applyFont="1" applyFill="1" applyBorder="1"/>
    <xf numFmtId="0" fontId="15" fillId="7" borderId="8" xfId="2" applyFont="1" applyFill="1" applyBorder="1"/>
    <xf numFmtId="0" fontId="13" fillId="7" borderId="8" xfId="2" applyFill="1" applyBorder="1"/>
    <xf numFmtId="0" fontId="13" fillId="7" borderId="9" xfId="2" applyFill="1" applyBorder="1"/>
    <xf numFmtId="0" fontId="13" fillId="2" borderId="0" xfId="2" applyFill="1"/>
    <xf numFmtId="0" fontId="13" fillId="7" borderId="10" xfId="2" applyFill="1" applyBorder="1"/>
    <xf numFmtId="0" fontId="15" fillId="7" borderId="0" xfId="2" applyFont="1" applyFill="1" applyBorder="1"/>
    <xf numFmtId="0" fontId="15" fillId="7" borderId="0" xfId="2" applyFont="1" applyFill="1" applyBorder="1" applyAlignment="1">
      <alignment horizontal="center"/>
    </xf>
    <xf numFmtId="0" fontId="13" fillId="7" borderId="11" xfId="2" applyFill="1" applyBorder="1"/>
    <xf numFmtId="0" fontId="13" fillId="7" borderId="12" xfId="2" applyFill="1" applyBorder="1"/>
    <xf numFmtId="0" fontId="16" fillId="7" borderId="11" xfId="2" applyFont="1" applyFill="1" applyBorder="1"/>
    <xf numFmtId="0" fontId="13" fillId="7" borderId="0" xfId="2" applyFill="1" applyBorder="1"/>
    <xf numFmtId="0" fontId="15" fillId="7" borderId="11" xfId="2" applyFont="1" applyFill="1" applyBorder="1"/>
    <xf numFmtId="0" fontId="13" fillId="7" borderId="13" xfId="2" applyFill="1" applyBorder="1"/>
    <xf numFmtId="0" fontId="17" fillId="7" borderId="11" xfId="2" applyFont="1" applyFill="1" applyBorder="1"/>
    <xf numFmtId="0" fontId="17" fillId="7" borderId="14" xfId="2" applyFont="1" applyFill="1" applyBorder="1"/>
    <xf numFmtId="14" fontId="17" fillId="7" borderId="4" xfId="2" applyNumberFormat="1" applyFont="1" applyFill="1" applyBorder="1"/>
    <xf numFmtId="0" fontId="15" fillId="7" borderId="4" xfId="2" applyFont="1" applyFill="1" applyBorder="1"/>
    <xf numFmtId="0" fontId="15" fillId="7" borderId="4" xfId="2" applyFont="1" applyFill="1" applyBorder="1" applyAlignment="1">
      <alignment horizontal="center"/>
    </xf>
    <xf numFmtId="0" fontId="13" fillId="7" borderId="15" xfId="2" applyFill="1" applyBorder="1"/>
    <xf numFmtId="0" fontId="13" fillId="7" borderId="16" xfId="2" applyFill="1" applyBorder="1"/>
    <xf numFmtId="0" fontId="18" fillId="4" borderId="15" xfId="2" applyFont="1" applyFill="1" applyBorder="1"/>
    <xf numFmtId="0" fontId="13" fillId="4" borderId="4" xfId="2" applyFill="1" applyBorder="1"/>
    <xf numFmtId="0" fontId="19" fillId="8" borderId="15" xfId="2" applyFont="1" applyFill="1" applyBorder="1"/>
    <xf numFmtId="0" fontId="13" fillId="8" borderId="4" xfId="2" applyFill="1" applyBorder="1"/>
    <xf numFmtId="0" fontId="13" fillId="7" borderId="4" xfId="2" applyFill="1" applyBorder="1"/>
    <xf numFmtId="0" fontId="13" fillId="7" borderId="17" xfId="2" applyFill="1" applyBorder="1"/>
    <xf numFmtId="0" fontId="13" fillId="2" borderId="10" xfId="2" applyFill="1" applyBorder="1"/>
    <xf numFmtId="0" fontId="13" fillId="2" borderId="11" xfId="2" applyFill="1" applyBorder="1"/>
    <xf numFmtId="0" fontId="13" fillId="2" borderId="12" xfId="2" applyFill="1" applyBorder="1"/>
    <xf numFmtId="0" fontId="13" fillId="2" borderId="13" xfId="2" applyFill="1" applyBorder="1"/>
    <xf numFmtId="0" fontId="13" fillId="6" borderId="0" xfId="2" applyFill="1" applyBorder="1"/>
    <xf numFmtId="0" fontId="13" fillId="6" borderId="11" xfId="2" applyFill="1" applyBorder="1"/>
    <xf numFmtId="0" fontId="13" fillId="6" borderId="12" xfId="2" applyFill="1" applyBorder="1"/>
    <xf numFmtId="0" fontId="13" fillId="6" borderId="10" xfId="2" applyFill="1" applyBorder="1"/>
    <xf numFmtId="0" fontId="13" fillId="2" borderId="18" xfId="2" applyFill="1" applyBorder="1"/>
    <xf numFmtId="0" fontId="13" fillId="2" borderId="19" xfId="2" applyFill="1" applyBorder="1"/>
    <xf numFmtId="0" fontId="13" fillId="2" borderId="20" xfId="2" applyFill="1" applyBorder="1"/>
    <xf numFmtId="0" fontId="13" fillId="2" borderId="21" xfId="2" applyFill="1" applyBorder="1"/>
    <xf numFmtId="0" fontId="13" fillId="2" borderId="22" xfId="2" applyFill="1" applyBorder="1"/>
    <xf numFmtId="0" fontId="13" fillId="2" borderId="23" xfId="2" applyFill="1" applyBorder="1"/>
    <xf numFmtId="0" fontId="22" fillId="2" borderId="10" xfId="2" applyFont="1" applyFill="1" applyBorder="1"/>
    <xf numFmtId="0" fontId="15" fillId="2" borderId="10" xfId="2" applyFont="1" applyFill="1" applyBorder="1"/>
    <xf numFmtId="0" fontId="13" fillId="6" borderId="0" xfId="2" applyFont="1" applyFill="1" applyBorder="1"/>
    <xf numFmtId="0" fontId="13" fillId="2" borderId="15" xfId="2" applyFill="1" applyBorder="1"/>
    <xf numFmtId="0" fontId="13" fillId="2" borderId="24" xfId="2" applyFill="1" applyBorder="1"/>
    <xf numFmtId="0" fontId="15" fillId="2" borderId="0" xfId="2" applyFont="1" applyFill="1" applyBorder="1"/>
    <xf numFmtId="0" fontId="19" fillId="2" borderId="0" xfId="2" applyFont="1" applyFill="1" applyBorder="1"/>
    <xf numFmtId="0" fontId="19" fillId="6" borderId="0" xfId="2" applyFont="1" applyFill="1" applyBorder="1"/>
    <xf numFmtId="0" fontId="13" fillId="6" borderId="13" xfId="2" applyFill="1" applyBorder="1"/>
    <xf numFmtId="0" fontId="13" fillId="2" borderId="25" xfId="2" applyFill="1" applyBorder="1"/>
    <xf numFmtId="0" fontId="13" fillId="2" borderId="26" xfId="2" applyFill="1" applyBorder="1"/>
    <xf numFmtId="0" fontId="13" fillId="2" borderId="27" xfId="2" applyFill="1" applyBorder="1"/>
    <xf numFmtId="0" fontId="23" fillId="11" borderId="28" xfId="3" applyFont="1" applyFill="1" applyBorder="1" applyAlignment="1" applyProtection="1"/>
    <xf numFmtId="0" fontId="14" fillId="11" borderId="29" xfId="2" applyFont="1" applyFill="1" applyBorder="1"/>
    <xf numFmtId="0" fontId="13" fillId="11" borderId="11" xfId="2" applyFill="1" applyBorder="1"/>
    <xf numFmtId="0" fontId="13" fillId="11" borderId="0" xfId="2" applyFill="1" applyBorder="1"/>
    <xf numFmtId="0" fontId="16" fillId="11" borderId="11" xfId="2" applyFont="1" applyFill="1" applyBorder="1" applyAlignment="1">
      <alignment horizontal="left"/>
    </xf>
    <xf numFmtId="0" fontId="16" fillId="11" borderId="0" xfId="2" applyFont="1" applyFill="1" applyBorder="1" applyAlignment="1">
      <alignment horizontal="left"/>
    </xf>
    <xf numFmtId="0" fontId="16" fillId="11" borderId="12" xfId="2" applyFont="1" applyFill="1" applyBorder="1" applyAlignment="1">
      <alignment horizontal="left"/>
    </xf>
    <xf numFmtId="0" fontId="13" fillId="11" borderId="15" xfId="2" applyFill="1" applyBorder="1"/>
    <xf numFmtId="0" fontId="13" fillId="11" borderId="4" xfId="2" applyFill="1" applyBorder="1"/>
    <xf numFmtId="0" fontId="24" fillId="2" borderId="28" xfId="2" applyFont="1" applyFill="1" applyBorder="1"/>
    <xf numFmtId="0" fontId="13" fillId="2" borderId="29" xfId="2" applyFill="1" applyBorder="1"/>
    <xf numFmtId="0" fontId="13" fillId="2" borderId="28" xfId="2" applyFill="1" applyBorder="1"/>
    <xf numFmtId="0" fontId="13" fillId="2" borderId="30" xfId="2" applyFill="1" applyBorder="1"/>
    <xf numFmtId="0" fontId="16" fillId="2" borderId="15" xfId="2" applyFont="1" applyFill="1" applyBorder="1"/>
    <xf numFmtId="0" fontId="13" fillId="2" borderId="4" xfId="2" applyFill="1" applyBorder="1"/>
    <xf numFmtId="0" fontId="13" fillId="2" borderId="16" xfId="2" applyFill="1" applyBorder="1"/>
    <xf numFmtId="0" fontId="13" fillId="7" borderId="5" xfId="2" applyFont="1" applyFill="1" applyBorder="1"/>
    <xf numFmtId="0" fontId="25" fillId="7" borderId="6" xfId="2" applyFont="1" applyFill="1" applyBorder="1"/>
    <xf numFmtId="0" fontId="14" fillId="7" borderId="6" xfId="2" applyFont="1" applyFill="1" applyBorder="1"/>
    <xf numFmtId="14" fontId="17" fillId="7" borderId="6" xfId="2" applyNumberFormat="1" applyFont="1" applyFill="1" applyBorder="1"/>
    <xf numFmtId="0" fontId="17" fillId="7" borderId="7" xfId="2" applyFont="1" applyFill="1" applyBorder="1" applyAlignment="1">
      <alignment horizontal="right"/>
    </xf>
    <xf numFmtId="0" fontId="25" fillId="2" borderId="0" xfId="2" applyFont="1" applyFill="1"/>
    <xf numFmtId="0" fontId="25" fillId="7" borderId="10" xfId="2" applyFont="1" applyFill="1" applyBorder="1"/>
    <xf numFmtId="0" fontId="25" fillId="7" borderId="0" xfId="2" applyFont="1" applyFill="1" applyBorder="1"/>
    <xf numFmtId="0" fontId="26" fillId="7" borderId="0" xfId="2" applyFont="1" applyFill="1" applyBorder="1"/>
    <xf numFmtId="0" fontId="25" fillId="7" borderId="13" xfId="2" applyFont="1" applyFill="1" applyBorder="1"/>
    <xf numFmtId="0" fontId="26" fillId="7" borderId="10" xfId="2" applyFont="1" applyFill="1" applyBorder="1"/>
    <xf numFmtId="0" fontId="26" fillId="7" borderId="0" xfId="2" applyFont="1" applyFill="1" applyBorder="1" applyAlignment="1">
      <alignment horizontal="center"/>
    </xf>
    <xf numFmtId="0" fontId="13" fillId="2" borderId="0" xfId="2" applyFill="1" applyBorder="1" applyAlignment="1">
      <alignment horizontal="center"/>
    </xf>
    <xf numFmtId="0" fontId="20" fillId="2" borderId="0" xfId="3" applyFill="1" applyBorder="1" applyAlignment="1" applyProtection="1"/>
    <xf numFmtId="0" fontId="13" fillId="2" borderId="0" xfId="2" applyFill="1" applyBorder="1" applyAlignment="1">
      <alignment horizontal="left"/>
    </xf>
    <xf numFmtId="0" fontId="20" fillId="2" borderId="0" xfId="3" applyFill="1" applyAlignment="1" applyProtection="1"/>
    <xf numFmtId="0" fontId="13" fillId="2" borderId="0" xfId="2" applyFill="1" applyAlignment="1">
      <alignment horizontal="center"/>
    </xf>
    <xf numFmtId="44" fontId="13" fillId="2" borderId="0" xfId="2" applyNumberFormat="1" applyFill="1"/>
    <xf numFmtId="164" fontId="27" fillId="2" borderId="0" xfId="2" applyNumberFormat="1" applyFont="1" applyFill="1"/>
    <xf numFmtId="0" fontId="28" fillId="2" borderId="10" xfId="2" applyFont="1" applyFill="1" applyBorder="1"/>
    <xf numFmtId="0" fontId="28" fillId="2" borderId="0" xfId="2" applyFont="1" applyFill="1" applyBorder="1"/>
    <xf numFmtId="0" fontId="29" fillId="2" borderId="10" xfId="2" applyFont="1" applyFill="1" applyBorder="1"/>
    <xf numFmtId="0" fontId="25" fillId="2" borderId="0" xfId="2" applyFont="1" applyFill="1" applyBorder="1"/>
    <xf numFmtId="0" fontId="25" fillId="2" borderId="0" xfId="2" applyFont="1" applyFill="1" applyBorder="1" applyAlignment="1">
      <alignment horizontal="center"/>
    </xf>
    <xf numFmtId="0" fontId="30" fillId="2" borderId="0" xfId="3" applyFont="1" applyFill="1" applyBorder="1" applyAlignment="1" applyProtection="1"/>
    <xf numFmtId="0" fontId="25" fillId="2" borderId="13" xfId="2" applyFont="1" applyFill="1" applyBorder="1"/>
    <xf numFmtId="0" fontId="31" fillId="2" borderId="10" xfId="2" applyFont="1" applyFill="1" applyBorder="1"/>
    <xf numFmtId="0" fontId="13" fillId="2" borderId="26" xfId="2" applyFill="1" applyBorder="1" applyAlignment="1">
      <alignment horizontal="center"/>
    </xf>
    <xf numFmtId="0" fontId="32" fillId="2" borderId="26" xfId="2" applyNumberFormat="1" applyFont="1" applyFill="1" applyBorder="1" applyAlignment="1">
      <alignment vertical="center" wrapText="1"/>
    </xf>
    <xf numFmtId="0" fontId="32" fillId="2" borderId="27" xfId="2" applyNumberFormat="1" applyFont="1" applyFill="1" applyBorder="1" applyAlignment="1">
      <alignment vertical="center" wrapText="1"/>
    </xf>
    <xf numFmtId="0" fontId="33" fillId="7" borderId="6" xfId="2" applyFont="1" applyFill="1" applyBorder="1"/>
    <xf numFmtId="0" fontId="33" fillId="7" borderId="9" xfId="2" applyFont="1" applyFill="1" applyBorder="1"/>
    <xf numFmtId="0" fontId="14" fillId="7" borderId="10" xfId="2" applyFont="1" applyFill="1" applyBorder="1"/>
    <xf numFmtId="0" fontId="14" fillId="7" borderId="0" xfId="2" applyFont="1" applyFill="1" applyBorder="1"/>
    <xf numFmtId="0" fontId="26" fillId="7" borderId="28" xfId="2" applyFont="1" applyFill="1" applyBorder="1"/>
    <xf numFmtId="0" fontId="26" fillId="7" borderId="30" xfId="2" applyFont="1" applyFill="1" applyBorder="1"/>
    <xf numFmtId="0" fontId="25" fillId="7" borderId="29" xfId="2" applyFont="1" applyFill="1" applyBorder="1"/>
    <xf numFmtId="0" fontId="25" fillId="7" borderId="30" xfId="2" applyFont="1" applyFill="1" applyBorder="1"/>
    <xf numFmtId="0" fontId="15" fillId="7" borderId="28" xfId="2" applyFont="1" applyFill="1" applyBorder="1"/>
    <xf numFmtId="0" fontId="33" fillId="7" borderId="11" xfId="2" applyFont="1" applyFill="1" applyBorder="1"/>
    <xf numFmtId="0" fontId="33" fillId="7" borderId="0" xfId="2" applyFont="1" applyFill="1" applyBorder="1"/>
    <xf numFmtId="0" fontId="33" fillId="7" borderId="13" xfId="2" applyFont="1" applyFill="1" applyBorder="1"/>
    <xf numFmtId="0" fontId="33" fillId="2" borderId="0" xfId="2" applyFont="1" applyFill="1"/>
    <xf numFmtId="0" fontId="16" fillId="2" borderId="18" xfId="2" applyFont="1" applyFill="1" applyBorder="1"/>
    <xf numFmtId="0" fontId="33" fillId="7" borderId="12" xfId="2" applyFont="1" applyFill="1" applyBorder="1"/>
    <xf numFmtId="0" fontId="35" fillId="2" borderId="10" xfId="2" applyFont="1" applyFill="1" applyBorder="1"/>
    <xf numFmtId="0" fontId="35" fillId="2" borderId="0" xfId="2" applyFont="1" applyFill="1" applyBorder="1"/>
    <xf numFmtId="0" fontId="36" fillId="2" borderId="11" xfId="2" applyFont="1" applyFill="1" applyBorder="1"/>
    <xf numFmtId="0" fontId="36" fillId="2" borderId="0" xfId="2" applyFont="1" applyFill="1" applyBorder="1"/>
    <xf numFmtId="2" fontId="13" fillId="2" borderId="11" xfId="2" applyNumberFormat="1" applyFill="1" applyBorder="1"/>
    <xf numFmtId="2" fontId="13" fillId="2" borderId="0" xfId="2" applyNumberFormat="1" applyFill="1" applyBorder="1"/>
    <xf numFmtId="2" fontId="13" fillId="2" borderId="20" xfId="2" applyNumberFormat="1" applyFill="1" applyBorder="1"/>
    <xf numFmtId="2" fontId="13" fillId="2" borderId="12" xfId="2" applyNumberFormat="1" applyFill="1" applyBorder="1"/>
    <xf numFmtId="0" fontId="13" fillId="2" borderId="11" xfId="2" applyFill="1" applyBorder="1" applyAlignment="1">
      <alignment horizontal="center"/>
    </xf>
    <xf numFmtId="0" fontId="17" fillId="2" borderId="10" xfId="2" applyFont="1" applyFill="1" applyBorder="1"/>
    <xf numFmtId="0" fontId="13" fillId="2" borderId="0" xfId="2" applyFont="1" applyFill="1" applyBorder="1"/>
    <xf numFmtId="0" fontId="37" fillId="2" borderId="11" xfId="2" applyFont="1" applyFill="1" applyBorder="1"/>
    <xf numFmtId="165" fontId="13" fillId="2" borderId="11" xfId="2" applyNumberFormat="1" applyFill="1" applyBorder="1"/>
    <xf numFmtId="0" fontId="38" fillId="2" borderId="11" xfId="2" applyFont="1" applyFill="1" applyBorder="1"/>
    <xf numFmtId="0" fontId="15" fillId="2" borderId="18" xfId="2" applyFont="1" applyFill="1" applyBorder="1"/>
    <xf numFmtId="0" fontId="13" fillId="2" borderId="10" xfId="2" applyFont="1" applyFill="1" applyBorder="1"/>
    <xf numFmtId="0" fontId="16" fillId="2" borderId="19" xfId="2" applyFont="1" applyFill="1" applyBorder="1"/>
    <xf numFmtId="0" fontId="16" fillId="2" borderId="20" xfId="2" applyFont="1" applyFill="1" applyBorder="1"/>
    <xf numFmtId="0" fontId="16" fillId="2" borderId="21" xfId="2" applyFont="1" applyFill="1" applyBorder="1"/>
    <xf numFmtId="0" fontId="16" fillId="2" borderId="11" xfId="2" applyFont="1" applyFill="1" applyBorder="1"/>
    <xf numFmtId="0" fontId="16" fillId="2" borderId="0" xfId="2" applyFont="1" applyFill="1" applyBorder="1"/>
    <xf numFmtId="0" fontId="16" fillId="2" borderId="13" xfId="2" applyFont="1" applyFill="1" applyBorder="1"/>
    <xf numFmtId="0" fontId="16" fillId="2" borderId="0" xfId="2" applyFont="1" applyFill="1"/>
    <xf numFmtId="0" fontId="33" fillId="7" borderId="7" xfId="2" applyFont="1" applyFill="1" applyBorder="1"/>
    <xf numFmtId="0" fontId="33" fillId="7" borderId="8" xfId="2" applyFont="1" applyFill="1" applyBorder="1"/>
    <xf numFmtId="0" fontId="40" fillId="0" borderId="0" xfId="2" applyFont="1"/>
    <xf numFmtId="2" fontId="28" fillId="2" borderId="19" xfId="2" applyNumberFormat="1" applyFont="1" applyFill="1" applyBorder="1"/>
    <xf numFmtId="0" fontId="28" fillId="2" borderId="19" xfId="2" applyFont="1" applyFill="1" applyBorder="1"/>
    <xf numFmtId="0" fontId="13" fillId="2" borderId="31" xfId="2" applyFill="1" applyBorder="1"/>
    <xf numFmtId="0" fontId="13" fillId="2" borderId="32" xfId="2" applyFill="1" applyBorder="1"/>
    <xf numFmtId="166" fontId="43" fillId="2" borderId="19" xfId="2" applyNumberFormat="1" applyFont="1" applyFill="1" applyBorder="1"/>
    <xf numFmtId="0" fontId="43" fillId="2" borderId="19" xfId="2" applyFont="1" applyFill="1" applyBorder="1"/>
    <xf numFmtId="0" fontId="22" fillId="11" borderId="11" xfId="2" applyFont="1" applyFill="1" applyBorder="1"/>
    <xf numFmtId="0" fontId="13" fillId="11" borderId="0" xfId="2" applyFill="1"/>
    <xf numFmtId="0" fontId="15" fillId="11" borderId="11" xfId="2" applyFont="1" applyFill="1" applyBorder="1"/>
    <xf numFmtId="0" fontId="13" fillId="11" borderId="12" xfId="2" applyFill="1" applyBorder="1"/>
    <xf numFmtId="0" fontId="15" fillId="11" borderId="12" xfId="2" applyFont="1" applyFill="1" applyBorder="1"/>
    <xf numFmtId="0" fontId="15" fillId="11" borderId="0" xfId="2" applyFont="1" applyFill="1" applyBorder="1"/>
    <xf numFmtId="0" fontId="17" fillId="11" borderId="11" xfId="2" applyFont="1" applyFill="1" applyBorder="1"/>
    <xf numFmtId="14" fontId="17" fillId="11" borderId="0" xfId="2" applyNumberFormat="1" applyFont="1" applyFill="1"/>
    <xf numFmtId="0" fontId="15" fillId="11" borderId="0" xfId="2" applyFont="1" applyFill="1"/>
    <xf numFmtId="0" fontId="15" fillId="2" borderId="11" xfId="2" applyFont="1" applyFill="1" applyBorder="1"/>
    <xf numFmtId="2" fontId="13" fillId="2" borderId="0" xfId="2" applyNumberFormat="1" applyFill="1"/>
    <xf numFmtId="0" fontId="13" fillId="2" borderId="11" xfId="2" applyFont="1" applyFill="1" applyBorder="1"/>
    <xf numFmtId="0" fontId="15" fillId="2" borderId="12" xfId="2" applyFont="1" applyFill="1" applyBorder="1"/>
    <xf numFmtId="0" fontId="15" fillId="2" borderId="20" xfId="2" applyFont="1" applyFill="1" applyBorder="1"/>
    <xf numFmtId="0" fontId="15" fillId="2" borderId="21" xfId="2" applyFont="1" applyFill="1" applyBorder="1"/>
    <xf numFmtId="0" fontId="15" fillId="2" borderId="19" xfId="2" applyFont="1" applyFill="1" applyBorder="1"/>
    <xf numFmtId="0" fontId="22" fillId="11" borderId="5" xfId="2" applyFont="1" applyFill="1" applyBorder="1"/>
    <xf numFmtId="0" fontId="13" fillId="11" borderId="6" xfId="2" applyFill="1" applyBorder="1"/>
    <xf numFmtId="0" fontId="15" fillId="11" borderId="7" xfId="2" applyFont="1" applyFill="1" applyBorder="1"/>
    <xf numFmtId="0" fontId="13" fillId="11" borderId="7" xfId="2" applyFill="1" applyBorder="1"/>
    <xf numFmtId="0" fontId="13" fillId="11" borderId="9" xfId="2" applyFill="1" applyBorder="1"/>
    <xf numFmtId="0" fontId="13" fillId="11" borderId="10" xfId="2" applyFill="1" applyBorder="1"/>
    <xf numFmtId="0" fontId="16" fillId="11" borderId="0" xfId="2" applyFont="1" applyFill="1" applyBorder="1"/>
    <xf numFmtId="0" fontId="13" fillId="11" borderId="13" xfId="2" applyFill="1" applyBorder="1"/>
    <xf numFmtId="0" fontId="17" fillId="11" borderId="10" xfId="2" applyFont="1" applyFill="1" applyBorder="1"/>
    <xf numFmtId="14" fontId="17" fillId="11" borderId="0" xfId="2" applyNumberFormat="1" applyFont="1" applyFill="1" applyBorder="1"/>
    <xf numFmtId="0" fontId="45" fillId="2" borderId="18" xfId="2" applyFont="1" applyFill="1" applyBorder="1"/>
    <xf numFmtId="0" fontId="13" fillId="2" borderId="19" xfId="2" applyFill="1" applyBorder="1" applyAlignment="1">
      <alignment horizontal="center"/>
    </xf>
    <xf numFmtId="0" fontId="20" fillId="2" borderId="19" xfId="3" applyFill="1" applyBorder="1" applyAlignment="1" applyProtection="1"/>
    <xf numFmtId="0" fontId="46" fillId="2" borderId="0" xfId="2" applyFont="1" applyFill="1" applyBorder="1"/>
    <xf numFmtId="0" fontId="47" fillId="2" borderId="10" xfId="2" applyFont="1" applyFill="1" applyBorder="1"/>
    <xf numFmtId="0" fontId="45" fillId="2" borderId="10" xfId="2" applyFont="1" applyFill="1" applyBorder="1"/>
    <xf numFmtId="0" fontId="17" fillId="2" borderId="19" xfId="2" applyFont="1" applyFill="1" applyBorder="1"/>
    <xf numFmtId="2" fontId="13" fillId="2" borderId="19" xfId="2" applyNumberFormat="1" applyFill="1" applyBorder="1"/>
    <xf numFmtId="0" fontId="47" fillId="2" borderId="18" xfId="2" applyFont="1" applyFill="1" applyBorder="1"/>
    <xf numFmtId="0" fontId="47" fillId="2" borderId="19" xfId="2" applyFont="1" applyFill="1" applyBorder="1"/>
    <xf numFmtId="2" fontId="47" fillId="2" borderId="19" xfId="2" applyNumberFormat="1" applyFont="1" applyFill="1" applyBorder="1"/>
    <xf numFmtId="0" fontId="47" fillId="2" borderId="20" xfId="2" applyFont="1" applyFill="1" applyBorder="1"/>
    <xf numFmtId="0" fontId="47" fillId="2" borderId="21" xfId="2" applyFont="1" applyFill="1" applyBorder="1"/>
    <xf numFmtId="0" fontId="48" fillId="2" borderId="0" xfId="2" applyFont="1" applyFill="1" applyBorder="1"/>
    <xf numFmtId="0" fontId="4" fillId="6" borderId="10" xfId="1" applyFill="1" applyBorder="1" applyAlignment="1" applyProtection="1"/>
    <xf numFmtId="0" fontId="4" fillId="2" borderId="10" xfId="1" applyFill="1" applyBorder="1" applyAlignment="1" applyProtection="1"/>
    <xf numFmtId="0" fontId="18" fillId="4" borderId="15" xfId="2" applyFont="1" applyFill="1" applyBorder="1" applyAlignment="1">
      <alignment horizontal="center"/>
    </xf>
    <xf numFmtId="0" fontId="18" fillId="4" borderId="4" xfId="2" applyFont="1" applyFill="1" applyBorder="1" applyAlignment="1">
      <alignment horizontal="center"/>
    </xf>
    <xf numFmtId="0" fontId="18" fillId="4" borderId="16" xfId="2" applyFont="1" applyFill="1" applyBorder="1" applyAlignment="1">
      <alignment horizontal="center"/>
    </xf>
    <xf numFmtId="0" fontId="19" fillId="8" borderId="15" xfId="2" applyFont="1" applyFill="1" applyBorder="1" applyAlignment="1">
      <alignment horizontal="center"/>
    </xf>
    <xf numFmtId="0" fontId="19" fillId="8" borderId="4" xfId="2" applyFont="1" applyFill="1" applyBorder="1" applyAlignment="1">
      <alignment horizontal="center"/>
    </xf>
    <xf numFmtId="0" fontId="19" fillId="8" borderId="16" xfId="2" applyFont="1" applyFill="1" applyBorder="1" applyAlignment="1">
      <alignment horizontal="center"/>
    </xf>
    <xf numFmtId="0" fontId="13" fillId="2" borderId="11" xfId="2" applyFill="1" applyBorder="1" applyAlignment="1">
      <alignment horizontal="center"/>
    </xf>
    <xf numFmtId="0" fontId="13" fillId="2" borderId="0" xfId="2" applyFill="1" applyBorder="1" applyAlignment="1">
      <alignment horizontal="center"/>
    </xf>
    <xf numFmtId="0" fontId="13" fillId="2" borderId="12" xfId="2" applyFill="1" applyBorder="1" applyAlignment="1">
      <alignment horizontal="center"/>
    </xf>
    <xf numFmtId="0" fontId="16" fillId="11" borderId="11" xfId="2" applyFont="1" applyFill="1" applyBorder="1" applyAlignment="1">
      <alignment horizontal="left"/>
    </xf>
    <xf numFmtId="0" fontId="16" fillId="11" borderId="0" xfId="2" applyFont="1" applyFill="1" applyBorder="1" applyAlignment="1">
      <alignment horizontal="left"/>
    </xf>
    <xf numFmtId="0" fontId="16" fillId="11" borderId="12" xfId="2" applyFont="1" applyFill="1" applyBorder="1" applyAlignment="1">
      <alignment horizontal="left"/>
    </xf>
    <xf numFmtId="0" fontId="13" fillId="11" borderId="11" xfId="2" applyFill="1" applyBorder="1" applyAlignment="1">
      <alignment horizontal="left"/>
    </xf>
    <xf numFmtId="0" fontId="13" fillId="11" borderId="0" xfId="2" applyFill="1" applyBorder="1" applyAlignment="1">
      <alignment horizontal="left"/>
    </xf>
    <xf numFmtId="0" fontId="13" fillId="11" borderId="12" xfId="2" applyFill="1" applyBorder="1" applyAlignment="1">
      <alignment horizontal="left"/>
    </xf>
    <xf numFmtId="0" fontId="16" fillId="11" borderId="11" xfId="2" applyFont="1" applyFill="1" applyBorder="1" applyAlignment="1">
      <alignment horizontal="left" wrapText="1"/>
    </xf>
    <xf numFmtId="0" fontId="16" fillId="7" borderId="11" xfId="2" applyFont="1" applyFill="1" applyBorder="1" applyAlignment="1">
      <alignment horizontal="center"/>
    </xf>
    <xf numFmtId="0" fontId="16" fillId="7" borderId="0" xfId="2" applyFont="1" applyFill="1" applyBorder="1" applyAlignment="1">
      <alignment horizontal="center"/>
    </xf>
    <xf numFmtId="0" fontId="16" fillId="7" borderId="12" xfId="2" applyFont="1" applyFill="1" applyBorder="1" applyAlignment="1">
      <alignment horizontal="center"/>
    </xf>
    <xf numFmtId="0" fontId="13" fillId="7" borderId="11" xfId="2" applyFill="1" applyBorder="1" applyAlignment="1">
      <alignment horizontal="center"/>
    </xf>
    <xf numFmtId="0" fontId="13" fillId="7" borderId="0" xfId="2" applyFill="1" applyBorder="1" applyAlignment="1">
      <alignment horizontal="center"/>
    </xf>
    <xf numFmtId="0" fontId="13" fillId="7" borderId="12" xfId="2" applyFill="1" applyBorder="1" applyAlignment="1">
      <alignment horizontal="center"/>
    </xf>
    <xf numFmtId="0" fontId="15" fillId="11" borderId="28" xfId="2" applyFont="1" applyFill="1" applyBorder="1" applyAlignment="1">
      <alignment horizontal="left"/>
    </xf>
    <xf numFmtId="0" fontId="15" fillId="11" borderId="29" xfId="2" applyFont="1" applyFill="1" applyBorder="1" applyAlignment="1">
      <alignment horizontal="left"/>
    </xf>
    <xf numFmtId="0" fontId="15" fillId="11" borderId="30" xfId="2" applyFont="1" applyFill="1" applyBorder="1" applyAlignment="1">
      <alignment horizontal="left"/>
    </xf>
    <xf numFmtId="0" fontId="15" fillId="11" borderId="28" xfId="2" applyFont="1" applyFill="1" applyBorder="1" applyAlignment="1">
      <alignment horizontal="left" wrapText="1"/>
    </xf>
    <xf numFmtId="0" fontId="15" fillId="7" borderId="7" xfId="2" applyFont="1" applyFill="1" applyBorder="1" applyAlignment="1">
      <alignment horizontal="center"/>
    </xf>
    <xf numFmtId="0" fontId="15" fillId="7" borderId="6" xfId="2" applyFont="1" applyFill="1" applyBorder="1" applyAlignment="1">
      <alignment horizontal="center"/>
    </xf>
    <xf numFmtId="0" fontId="15" fillId="7" borderId="8" xfId="2" applyFont="1" applyFill="1" applyBorder="1" applyAlignment="1">
      <alignment horizontal="center"/>
    </xf>
    <xf numFmtId="0" fontId="15" fillId="7" borderId="11" xfId="2" applyFont="1" applyFill="1" applyBorder="1" applyAlignment="1">
      <alignment horizontal="center"/>
    </xf>
    <xf numFmtId="0" fontId="15" fillId="7" borderId="0" xfId="2" applyFont="1" applyFill="1" applyBorder="1" applyAlignment="1">
      <alignment horizontal="center"/>
    </xf>
    <xf numFmtId="0" fontId="15" fillId="7" borderId="12" xfId="2" applyFont="1" applyFill="1" applyBorder="1" applyAlignment="1">
      <alignment horizontal="center"/>
    </xf>
    <xf numFmtId="14" fontId="13" fillId="7" borderId="6" xfId="2" applyNumberFormat="1" applyFont="1" applyFill="1" applyBorder="1" applyAlignment="1">
      <alignment horizontal="center"/>
    </xf>
    <xf numFmtId="0" fontId="13" fillId="7" borderId="9" xfId="2" applyFont="1" applyFill="1" applyBorder="1" applyAlignment="1">
      <alignment horizontal="center"/>
    </xf>
  </cellXfs>
  <cellStyles count="4">
    <cellStyle name="Hyperlink" xfId="1" builtinId="8"/>
    <cellStyle name="Hyperlink 2" xfId="3"/>
    <cellStyle name="Normal" xfId="0" builtinId="0"/>
    <cellStyle name="Normal 2" xfId="2"/>
  </cellStyles>
  <dxfs count="0"/>
  <tableStyles count="0" defaultTableStyle="TableStyleMedium2" defaultPivotStyle="PivotStyleLight16"/>
  <colors>
    <mruColors>
      <color rgb="FF99FF99"/>
      <color rgb="FFFF3399"/>
      <color rgb="FF000066"/>
      <color rgb="FF009999"/>
      <color rgb="FF800080"/>
      <color rgb="FF009900"/>
      <color rgb="FF808000"/>
      <color rgb="FF800000"/>
      <color rgb="FFFF66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4.jpe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xdr:col>
      <xdr:colOff>1209675</xdr:colOff>
      <xdr:row>11</xdr:row>
      <xdr:rowOff>57150</xdr:rowOff>
    </xdr:from>
    <xdr:ext cx="373885" cy="264560"/>
    <xdr:sp macro="" textlink="">
      <xdr:nvSpPr>
        <xdr:cNvPr id="4" name="TextBox 3"/>
        <xdr:cNvSpPr txBox="1"/>
      </xdr:nvSpPr>
      <xdr:spPr>
        <a:xfrm>
          <a:off x="1819275" y="1771650"/>
          <a:ext cx="3738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yes</a:t>
          </a:r>
        </a:p>
      </xdr:txBody>
    </xdr:sp>
    <xdr:clientData/>
  </xdr:oneCellAnchor>
  <xdr:twoCellAnchor>
    <xdr:from>
      <xdr:col>15</xdr:col>
      <xdr:colOff>1085851</xdr:colOff>
      <xdr:row>67</xdr:row>
      <xdr:rowOff>47625</xdr:rowOff>
    </xdr:from>
    <xdr:to>
      <xdr:col>15</xdr:col>
      <xdr:colOff>1362075</xdr:colOff>
      <xdr:row>68</xdr:row>
      <xdr:rowOff>76200</xdr:rowOff>
    </xdr:to>
    <xdr:sp macro="" textlink="">
      <xdr:nvSpPr>
        <xdr:cNvPr id="34" name="Down Arrow 33"/>
        <xdr:cNvSpPr/>
      </xdr:nvSpPr>
      <xdr:spPr>
        <a:xfrm flipH="1">
          <a:off x="17364076" y="13763625"/>
          <a:ext cx="276224"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1028701</xdr:colOff>
      <xdr:row>82</xdr:row>
      <xdr:rowOff>114300</xdr:rowOff>
    </xdr:from>
    <xdr:to>
      <xdr:col>15</xdr:col>
      <xdr:colOff>1304925</xdr:colOff>
      <xdr:row>83</xdr:row>
      <xdr:rowOff>142875</xdr:rowOff>
    </xdr:to>
    <xdr:sp macro="" textlink="">
      <xdr:nvSpPr>
        <xdr:cNvPr id="42" name="Down Arrow 41"/>
        <xdr:cNvSpPr/>
      </xdr:nvSpPr>
      <xdr:spPr>
        <a:xfrm flipH="1">
          <a:off x="17306926" y="17259300"/>
          <a:ext cx="276224"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1428750</xdr:colOff>
      <xdr:row>23</xdr:row>
      <xdr:rowOff>19050</xdr:rowOff>
    </xdr:from>
    <xdr:to>
      <xdr:col>10</xdr:col>
      <xdr:colOff>1428750</xdr:colOff>
      <xdr:row>25</xdr:row>
      <xdr:rowOff>28575</xdr:rowOff>
    </xdr:to>
    <xdr:cxnSp macro="">
      <xdr:nvCxnSpPr>
        <xdr:cNvPr id="45" name="Straight Arrow Connector 44"/>
        <xdr:cNvCxnSpPr/>
      </xdr:nvCxnSpPr>
      <xdr:spPr>
        <a:xfrm>
          <a:off x="12249150" y="4591050"/>
          <a:ext cx="0" cy="39052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27</xdr:row>
      <xdr:rowOff>47625</xdr:rowOff>
    </xdr:from>
    <xdr:to>
      <xdr:col>10</xdr:col>
      <xdr:colOff>1428750</xdr:colOff>
      <xdr:row>32</xdr:row>
      <xdr:rowOff>180975</xdr:rowOff>
    </xdr:to>
    <xdr:cxnSp macro="">
      <xdr:nvCxnSpPr>
        <xdr:cNvPr id="46" name="Straight Arrow Connector 45"/>
        <xdr:cNvCxnSpPr/>
      </xdr:nvCxnSpPr>
      <xdr:spPr>
        <a:xfrm>
          <a:off x="12249150" y="5572125"/>
          <a:ext cx="0" cy="108585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36</xdr:row>
      <xdr:rowOff>28575</xdr:rowOff>
    </xdr:from>
    <xdr:to>
      <xdr:col>10</xdr:col>
      <xdr:colOff>1428750</xdr:colOff>
      <xdr:row>39</xdr:row>
      <xdr:rowOff>180975</xdr:rowOff>
    </xdr:to>
    <xdr:cxnSp macro="">
      <xdr:nvCxnSpPr>
        <xdr:cNvPr id="48" name="Straight Arrow Connector 47"/>
        <xdr:cNvCxnSpPr/>
      </xdr:nvCxnSpPr>
      <xdr:spPr>
        <a:xfrm>
          <a:off x="12249150" y="7267575"/>
          <a:ext cx="0" cy="91440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41</xdr:row>
      <xdr:rowOff>47625</xdr:rowOff>
    </xdr:from>
    <xdr:to>
      <xdr:col>10</xdr:col>
      <xdr:colOff>1428750</xdr:colOff>
      <xdr:row>46</xdr:row>
      <xdr:rowOff>28575</xdr:rowOff>
    </xdr:to>
    <xdr:cxnSp macro="">
      <xdr:nvCxnSpPr>
        <xdr:cNvPr id="50" name="Straight Arrow Connector 49"/>
        <xdr:cNvCxnSpPr/>
      </xdr:nvCxnSpPr>
      <xdr:spPr>
        <a:xfrm>
          <a:off x="12249150" y="8429625"/>
          <a:ext cx="0" cy="93345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47</xdr:row>
      <xdr:rowOff>47625</xdr:rowOff>
    </xdr:from>
    <xdr:to>
      <xdr:col>10</xdr:col>
      <xdr:colOff>1428750</xdr:colOff>
      <xdr:row>51</xdr:row>
      <xdr:rowOff>371475</xdr:rowOff>
    </xdr:to>
    <xdr:cxnSp macro="">
      <xdr:nvCxnSpPr>
        <xdr:cNvPr id="52" name="Straight Arrow Connector 51"/>
        <xdr:cNvCxnSpPr/>
      </xdr:nvCxnSpPr>
      <xdr:spPr>
        <a:xfrm>
          <a:off x="12249150" y="9763125"/>
          <a:ext cx="0" cy="108585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53</xdr:row>
      <xdr:rowOff>66675</xdr:rowOff>
    </xdr:from>
    <xdr:to>
      <xdr:col>10</xdr:col>
      <xdr:colOff>1428750</xdr:colOff>
      <xdr:row>57</xdr:row>
      <xdr:rowOff>180975</xdr:rowOff>
    </xdr:to>
    <xdr:cxnSp macro="">
      <xdr:nvCxnSpPr>
        <xdr:cNvPr id="54" name="Straight Arrow Connector 53"/>
        <xdr:cNvCxnSpPr/>
      </xdr:nvCxnSpPr>
      <xdr:spPr>
        <a:xfrm>
          <a:off x="12249150" y="11115675"/>
          <a:ext cx="0" cy="87630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59</xdr:row>
      <xdr:rowOff>76200</xdr:rowOff>
    </xdr:from>
    <xdr:to>
      <xdr:col>10</xdr:col>
      <xdr:colOff>1428750</xdr:colOff>
      <xdr:row>63</xdr:row>
      <xdr:rowOff>19050</xdr:rowOff>
    </xdr:to>
    <xdr:cxnSp macro="">
      <xdr:nvCxnSpPr>
        <xdr:cNvPr id="56" name="Straight Arrow Connector 55"/>
        <xdr:cNvCxnSpPr/>
      </xdr:nvCxnSpPr>
      <xdr:spPr>
        <a:xfrm>
          <a:off x="12249150" y="12268200"/>
          <a:ext cx="0" cy="70485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64</xdr:row>
      <xdr:rowOff>38100</xdr:rowOff>
    </xdr:from>
    <xdr:to>
      <xdr:col>10</xdr:col>
      <xdr:colOff>1428750</xdr:colOff>
      <xdr:row>72</xdr:row>
      <xdr:rowOff>152400</xdr:rowOff>
    </xdr:to>
    <xdr:cxnSp macro="">
      <xdr:nvCxnSpPr>
        <xdr:cNvPr id="58" name="Straight Arrow Connector 57"/>
        <xdr:cNvCxnSpPr/>
      </xdr:nvCxnSpPr>
      <xdr:spPr>
        <a:xfrm>
          <a:off x="12249150" y="13182600"/>
          <a:ext cx="0" cy="163830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74</xdr:row>
      <xdr:rowOff>19050</xdr:rowOff>
    </xdr:from>
    <xdr:to>
      <xdr:col>10</xdr:col>
      <xdr:colOff>1428750</xdr:colOff>
      <xdr:row>78</xdr:row>
      <xdr:rowOff>9525</xdr:rowOff>
    </xdr:to>
    <xdr:cxnSp macro="">
      <xdr:nvCxnSpPr>
        <xdr:cNvPr id="60" name="Straight Arrow Connector 59"/>
        <xdr:cNvCxnSpPr/>
      </xdr:nvCxnSpPr>
      <xdr:spPr>
        <a:xfrm>
          <a:off x="12249150" y="15259050"/>
          <a:ext cx="0" cy="75247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1428750</xdr:colOff>
      <xdr:row>79</xdr:row>
      <xdr:rowOff>28575</xdr:rowOff>
    </xdr:from>
    <xdr:to>
      <xdr:col>10</xdr:col>
      <xdr:colOff>1428750</xdr:colOff>
      <xdr:row>84</xdr:row>
      <xdr:rowOff>0</xdr:rowOff>
    </xdr:to>
    <xdr:cxnSp macro="">
      <xdr:nvCxnSpPr>
        <xdr:cNvPr id="62" name="Straight Arrow Connector 61"/>
        <xdr:cNvCxnSpPr/>
      </xdr:nvCxnSpPr>
      <xdr:spPr>
        <a:xfrm>
          <a:off x="12249150" y="16221075"/>
          <a:ext cx="0" cy="130492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29</xdr:row>
      <xdr:rowOff>119065</xdr:rowOff>
    </xdr:from>
    <xdr:to>
      <xdr:col>14</xdr:col>
      <xdr:colOff>600074</xdr:colOff>
      <xdr:row>29</xdr:row>
      <xdr:rowOff>119065</xdr:rowOff>
    </xdr:to>
    <xdr:cxnSp macro="">
      <xdr:nvCxnSpPr>
        <xdr:cNvPr id="64" name="Straight Arrow Connector 63"/>
        <xdr:cNvCxnSpPr/>
      </xdr:nvCxnSpPr>
      <xdr:spPr>
        <a:xfrm flipH="1">
          <a:off x="12277724" y="6024565"/>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338136</xdr:colOff>
      <xdr:row>25</xdr:row>
      <xdr:rowOff>309563</xdr:rowOff>
    </xdr:from>
    <xdr:to>
      <xdr:col>14</xdr:col>
      <xdr:colOff>590553</xdr:colOff>
      <xdr:row>25</xdr:row>
      <xdr:rowOff>309563</xdr:rowOff>
    </xdr:to>
    <xdr:cxnSp macro="">
      <xdr:nvCxnSpPr>
        <xdr:cNvPr id="65" name="Straight Arrow Connector 64"/>
        <xdr:cNvCxnSpPr/>
      </xdr:nvCxnSpPr>
      <xdr:spPr>
        <a:xfrm>
          <a:off x="14177961" y="5262563"/>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333375</xdr:colOff>
      <xdr:row>34</xdr:row>
      <xdr:rowOff>133350</xdr:rowOff>
    </xdr:from>
    <xdr:to>
      <xdr:col>14</xdr:col>
      <xdr:colOff>585792</xdr:colOff>
      <xdr:row>34</xdr:row>
      <xdr:rowOff>133350</xdr:rowOff>
    </xdr:to>
    <xdr:cxnSp macro="">
      <xdr:nvCxnSpPr>
        <xdr:cNvPr id="68" name="Straight Arrow Connector 67"/>
        <xdr:cNvCxnSpPr/>
      </xdr:nvCxnSpPr>
      <xdr:spPr>
        <a:xfrm>
          <a:off x="14173200" y="6991350"/>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304800</xdr:colOff>
      <xdr:row>40</xdr:row>
      <xdr:rowOff>114300</xdr:rowOff>
    </xdr:from>
    <xdr:to>
      <xdr:col>14</xdr:col>
      <xdr:colOff>557217</xdr:colOff>
      <xdr:row>40</xdr:row>
      <xdr:rowOff>114300</xdr:rowOff>
    </xdr:to>
    <xdr:cxnSp macro="">
      <xdr:nvCxnSpPr>
        <xdr:cNvPr id="69" name="Straight Arrow Connector 68"/>
        <xdr:cNvCxnSpPr/>
      </xdr:nvCxnSpPr>
      <xdr:spPr>
        <a:xfrm>
          <a:off x="14144625" y="8305800"/>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314325</xdr:colOff>
      <xdr:row>46</xdr:row>
      <xdr:rowOff>200025</xdr:rowOff>
    </xdr:from>
    <xdr:to>
      <xdr:col>14</xdr:col>
      <xdr:colOff>566742</xdr:colOff>
      <xdr:row>46</xdr:row>
      <xdr:rowOff>200025</xdr:rowOff>
    </xdr:to>
    <xdr:cxnSp macro="">
      <xdr:nvCxnSpPr>
        <xdr:cNvPr id="70" name="Straight Arrow Connector 69"/>
        <xdr:cNvCxnSpPr/>
      </xdr:nvCxnSpPr>
      <xdr:spPr>
        <a:xfrm>
          <a:off x="14154150" y="9534525"/>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333375</xdr:colOff>
      <xdr:row>52</xdr:row>
      <xdr:rowOff>123825</xdr:rowOff>
    </xdr:from>
    <xdr:to>
      <xdr:col>14</xdr:col>
      <xdr:colOff>585792</xdr:colOff>
      <xdr:row>52</xdr:row>
      <xdr:rowOff>123825</xdr:rowOff>
    </xdr:to>
    <xdr:cxnSp macro="">
      <xdr:nvCxnSpPr>
        <xdr:cNvPr id="71" name="Straight Arrow Connector 70"/>
        <xdr:cNvCxnSpPr/>
      </xdr:nvCxnSpPr>
      <xdr:spPr>
        <a:xfrm>
          <a:off x="14173200" y="10982325"/>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333375</xdr:colOff>
      <xdr:row>58</xdr:row>
      <xdr:rowOff>123825</xdr:rowOff>
    </xdr:from>
    <xdr:to>
      <xdr:col>14</xdr:col>
      <xdr:colOff>585792</xdr:colOff>
      <xdr:row>58</xdr:row>
      <xdr:rowOff>123825</xdr:rowOff>
    </xdr:to>
    <xdr:cxnSp macro="">
      <xdr:nvCxnSpPr>
        <xdr:cNvPr id="72" name="Straight Arrow Connector 71"/>
        <xdr:cNvCxnSpPr/>
      </xdr:nvCxnSpPr>
      <xdr:spPr>
        <a:xfrm>
          <a:off x="14173200" y="12125325"/>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323850</xdr:colOff>
      <xdr:row>63</xdr:row>
      <xdr:rowOff>114300</xdr:rowOff>
    </xdr:from>
    <xdr:to>
      <xdr:col>14</xdr:col>
      <xdr:colOff>576267</xdr:colOff>
      <xdr:row>63</xdr:row>
      <xdr:rowOff>114300</xdr:rowOff>
    </xdr:to>
    <xdr:cxnSp macro="">
      <xdr:nvCxnSpPr>
        <xdr:cNvPr id="73" name="Straight Arrow Connector 72"/>
        <xdr:cNvCxnSpPr/>
      </xdr:nvCxnSpPr>
      <xdr:spPr>
        <a:xfrm>
          <a:off x="14163675" y="13068300"/>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323850</xdr:colOff>
      <xdr:row>73</xdr:row>
      <xdr:rowOff>200025</xdr:rowOff>
    </xdr:from>
    <xdr:to>
      <xdr:col>14</xdr:col>
      <xdr:colOff>576267</xdr:colOff>
      <xdr:row>73</xdr:row>
      <xdr:rowOff>200025</xdr:rowOff>
    </xdr:to>
    <xdr:cxnSp macro="">
      <xdr:nvCxnSpPr>
        <xdr:cNvPr id="74" name="Straight Arrow Connector 73"/>
        <xdr:cNvCxnSpPr/>
      </xdr:nvCxnSpPr>
      <xdr:spPr>
        <a:xfrm>
          <a:off x="14163675" y="15059025"/>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314325</xdr:colOff>
      <xdr:row>78</xdr:row>
      <xdr:rowOff>114300</xdr:rowOff>
    </xdr:from>
    <xdr:to>
      <xdr:col>14</xdr:col>
      <xdr:colOff>566742</xdr:colOff>
      <xdr:row>78</xdr:row>
      <xdr:rowOff>114300</xdr:rowOff>
    </xdr:to>
    <xdr:cxnSp macro="">
      <xdr:nvCxnSpPr>
        <xdr:cNvPr id="75" name="Straight Arrow Connector 74"/>
        <xdr:cNvCxnSpPr/>
      </xdr:nvCxnSpPr>
      <xdr:spPr>
        <a:xfrm>
          <a:off x="14154150" y="16116300"/>
          <a:ext cx="2081217"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36</xdr:row>
      <xdr:rowOff>361950</xdr:rowOff>
    </xdr:from>
    <xdr:to>
      <xdr:col>14</xdr:col>
      <xdr:colOff>600074</xdr:colOff>
      <xdr:row>36</xdr:row>
      <xdr:rowOff>361950</xdr:rowOff>
    </xdr:to>
    <xdr:cxnSp macro="">
      <xdr:nvCxnSpPr>
        <xdr:cNvPr id="76" name="Straight Arrow Connector 75"/>
        <xdr:cNvCxnSpPr/>
      </xdr:nvCxnSpPr>
      <xdr:spPr>
        <a:xfrm flipH="1">
          <a:off x="12277724" y="760095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42</xdr:row>
      <xdr:rowOff>152400</xdr:rowOff>
    </xdr:from>
    <xdr:to>
      <xdr:col>14</xdr:col>
      <xdr:colOff>600074</xdr:colOff>
      <xdr:row>42</xdr:row>
      <xdr:rowOff>152400</xdr:rowOff>
    </xdr:to>
    <xdr:cxnSp macro="">
      <xdr:nvCxnSpPr>
        <xdr:cNvPr id="77" name="Straight Arrow Connector 76"/>
        <xdr:cNvCxnSpPr/>
      </xdr:nvCxnSpPr>
      <xdr:spPr>
        <a:xfrm flipH="1">
          <a:off x="12277724" y="872490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48</xdr:row>
      <xdr:rowOff>133350</xdr:rowOff>
    </xdr:from>
    <xdr:to>
      <xdr:col>14</xdr:col>
      <xdr:colOff>600074</xdr:colOff>
      <xdr:row>48</xdr:row>
      <xdr:rowOff>133350</xdr:rowOff>
    </xdr:to>
    <xdr:cxnSp macro="">
      <xdr:nvCxnSpPr>
        <xdr:cNvPr id="78" name="Straight Arrow Connector 77"/>
        <xdr:cNvCxnSpPr/>
      </xdr:nvCxnSpPr>
      <xdr:spPr>
        <a:xfrm flipH="1">
          <a:off x="12277724" y="1003935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54</xdr:row>
      <xdr:rowOff>133350</xdr:rowOff>
    </xdr:from>
    <xdr:to>
      <xdr:col>14</xdr:col>
      <xdr:colOff>600074</xdr:colOff>
      <xdr:row>54</xdr:row>
      <xdr:rowOff>133350</xdr:rowOff>
    </xdr:to>
    <xdr:cxnSp macro="">
      <xdr:nvCxnSpPr>
        <xdr:cNvPr id="79" name="Straight Arrow Connector 78"/>
        <xdr:cNvCxnSpPr/>
      </xdr:nvCxnSpPr>
      <xdr:spPr>
        <a:xfrm flipH="1">
          <a:off x="12277724" y="1137285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60</xdr:row>
      <xdr:rowOff>114300</xdr:rowOff>
    </xdr:from>
    <xdr:to>
      <xdr:col>14</xdr:col>
      <xdr:colOff>600074</xdr:colOff>
      <xdr:row>60</xdr:row>
      <xdr:rowOff>114300</xdr:rowOff>
    </xdr:to>
    <xdr:cxnSp macro="">
      <xdr:nvCxnSpPr>
        <xdr:cNvPr id="80" name="Straight Arrow Connector 79"/>
        <xdr:cNvCxnSpPr/>
      </xdr:nvCxnSpPr>
      <xdr:spPr>
        <a:xfrm flipH="1">
          <a:off x="12277724" y="1249680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69</xdr:row>
      <xdr:rowOff>180975</xdr:rowOff>
    </xdr:from>
    <xdr:to>
      <xdr:col>14</xdr:col>
      <xdr:colOff>600074</xdr:colOff>
      <xdr:row>69</xdr:row>
      <xdr:rowOff>180975</xdr:rowOff>
    </xdr:to>
    <xdr:cxnSp macro="">
      <xdr:nvCxnSpPr>
        <xdr:cNvPr id="82" name="Straight Arrow Connector 81"/>
        <xdr:cNvCxnSpPr/>
      </xdr:nvCxnSpPr>
      <xdr:spPr>
        <a:xfrm flipH="1">
          <a:off x="12277724" y="14277975"/>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1457324</xdr:colOff>
      <xdr:row>75</xdr:row>
      <xdr:rowOff>95250</xdr:rowOff>
    </xdr:from>
    <xdr:to>
      <xdr:col>14</xdr:col>
      <xdr:colOff>600074</xdr:colOff>
      <xdr:row>75</xdr:row>
      <xdr:rowOff>95250</xdr:rowOff>
    </xdr:to>
    <xdr:cxnSp macro="">
      <xdr:nvCxnSpPr>
        <xdr:cNvPr id="83" name="Straight Arrow Connector 82"/>
        <xdr:cNvCxnSpPr/>
      </xdr:nvCxnSpPr>
      <xdr:spPr>
        <a:xfrm flipH="1">
          <a:off x="12277724" y="15525750"/>
          <a:ext cx="4114800" cy="0"/>
        </a:xfrm>
        <a:prstGeom prst="straightConnector1">
          <a:avLst/>
        </a:prstGeom>
        <a:ln w="57150" cap="sq">
          <a:solidFill>
            <a:schemeClr val="tx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9525</xdr:colOff>
      <xdr:row>85</xdr:row>
      <xdr:rowOff>161925</xdr:rowOff>
    </xdr:from>
    <xdr:to>
      <xdr:col>14</xdr:col>
      <xdr:colOff>571500</xdr:colOff>
      <xdr:row>85</xdr:row>
      <xdr:rowOff>161925</xdr:rowOff>
    </xdr:to>
    <xdr:cxnSp macro="">
      <xdr:nvCxnSpPr>
        <xdr:cNvPr id="84" name="Straight Arrow Connector 83"/>
        <xdr:cNvCxnSpPr/>
      </xdr:nvCxnSpPr>
      <xdr:spPr>
        <a:xfrm flipH="1">
          <a:off x="13849350" y="17878425"/>
          <a:ext cx="2390775"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28575</xdr:colOff>
      <xdr:row>11</xdr:row>
      <xdr:rowOff>19050</xdr:rowOff>
    </xdr:from>
    <xdr:to>
      <xdr:col>10</xdr:col>
      <xdr:colOff>0</xdr:colOff>
      <xdr:row>11</xdr:row>
      <xdr:rowOff>28575</xdr:rowOff>
    </xdr:to>
    <xdr:cxnSp macro="">
      <xdr:nvCxnSpPr>
        <xdr:cNvPr id="86" name="Straight Arrow Connector 85"/>
        <xdr:cNvCxnSpPr/>
      </xdr:nvCxnSpPr>
      <xdr:spPr>
        <a:xfrm>
          <a:off x="8296275" y="1733550"/>
          <a:ext cx="2409825" cy="952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352425</xdr:colOff>
      <xdr:row>9</xdr:row>
      <xdr:rowOff>200025</xdr:rowOff>
    </xdr:from>
    <xdr:to>
      <xdr:col>5</xdr:col>
      <xdr:colOff>9525</xdr:colOff>
      <xdr:row>9</xdr:row>
      <xdr:rowOff>200025</xdr:rowOff>
    </xdr:to>
    <xdr:cxnSp macro="">
      <xdr:nvCxnSpPr>
        <xdr:cNvPr id="88" name="Straight Arrow Connector 87"/>
        <xdr:cNvCxnSpPr/>
      </xdr:nvCxnSpPr>
      <xdr:spPr>
        <a:xfrm>
          <a:off x="3990975" y="1343025"/>
          <a:ext cx="1485900"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16</xdr:col>
      <xdr:colOff>2066929</xdr:colOff>
      <xdr:row>36</xdr:row>
      <xdr:rowOff>342900</xdr:rowOff>
    </xdr:from>
    <xdr:ext cx="5000622" cy="10081478"/>
    <xdr:sp macro="" textlink="">
      <xdr:nvSpPr>
        <xdr:cNvPr id="91" name="TextBox 90"/>
        <xdr:cNvSpPr txBox="1"/>
      </xdr:nvSpPr>
      <xdr:spPr>
        <a:xfrm>
          <a:off x="21174079" y="7410450"/>
          <a:ext cx="5000622" cy="1008147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baseline="0" smtClean="0">
              <a:solidFill>
                <a:srgbClr val="FF0000"/>
              </a:solidFill>
              <a:latin typeface="+mn-lt"/>
              <a:ea typeface="+mn-ea"/>
              <a:cs typeface="+mn-cs"/>
            </a:rPr>
            <a:t>Note 3</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If overall performance issues are noted or suspected then this procedure can be run to see if there is any sign of charging occurring on any of the Ion Optics from the ITT (Ion Transfer Tube) up to and including the DLT (Dual Linear Trap). If there is charging detected then a front end or complete ion optics cleaning may be necessary.</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For this test to be successful please follow these simple recommendations before running this test;</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1. Establish as stable a spray as possible in the Positive Ion Mode while infusing positive Ion Calmix (I find a higher flowrate, e.g. 5ul/min is beneficial for this procedure)</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2. Note the Positive ion Mode Source parameters you end up with and the observed spray current as read from the Status page</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3. Then switch to the Negative Ion Mode and copy all Positive ion mode parameters in to the Negative Ion mode so all match what was observed and noted in the Positive Ion mode, the reason for this is when the Ion polarity is switched during the procedure that there is minimal turbulence created in the Spray source region during the switch from and back to the Positive Ion Mode. The exception to setting identical parameters would be the spray voltage applied in the Negative Ion Mode, typically this will be less then the Positive Mode. What you will want to do here is observe the current Spray current in the Negative mode, if higher then what was observed in the Positive Ion Mode then reduce the spray voltage until you are at or near the Positive mode spray current you observed.</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4.Revert back to the Positive Ion Mode and allow it to stabilize and run the Evaluation.</a:t>
          </a:r>
        </a:p>
        <a:p>
          <a:endParaRPr lang="en-US" sz="1100" b="0" i="0" u="none" strike="noStrike" baseline="0" smtClean="0">
            <a:solidFill>
              <a:schemeClr val="tx1"/>
            </a:solidFill>
            <a:latin typeface="+mn-lt"/>
            <a:ea typeface="+mn-ea"/>
            <a:cs typeface="+mn-cs"/>
          </a:endParaRP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**Additional comments based on recent observations</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We recently made the observation while running the Lens Charging Test that an ion with m/z 537 appeared, which may incorrectly sway your conclusions when interpreting the test results:</a:t>
          </a:r>
        </a:p>
        <a:p>
          <a:r>
            <a:rPr lang="en-US" sz="1100" b="0" i="0" u="none" strike="noStrike" baseline="0" smtClean="0">
              <a:solidFill>
                <a:schemeClr val="tx1"/>
              </a:solidFill>
              <a:latin typeface="+mn-lt"/>
              <a:ea typeface="+mn-ea"/>
              <a:cs typeface="+mn-cs"/>
            </a:rPr>
            <a:t>when that mass 537 begins to appear,  it affects the TIC plot and it appears to be stepping or changing only due to the addition and decay of mass at 537 and not from charging.</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It appears that the 537 is generated during the time the instrument is scanning in neg ion mode.  We found that running at higher flowrates, e.g. 5ul/min may help reduce that effect.</a:t>
          </a:r>
        </a:p>
        <a:p>
          <a:r>
            <a:rPr lang="en-US" sz="1100" b="0" i="0" u="none" strike="noStrike" baseline="0" smtClean="0">
              <a:solidFill>
                <a:schemeClr val="tx1"/>
              </a:solidFill>
              <a:latin typeface="+mn-lt"/>
              <a:ea typeface="+mn-ea"/>
              <a:cs typeface="+mn-cs"/>
            </a:rPr>
            <a:t>We also found that isolating the ZDV (Zero Dead Volume) union from it bracket, i.e. isolating it from the ground helps as well. </a:t>
          </a:r>
        </a:p>
        <a:p>
          <a:endParaRPr lang="en-US" sz="1100" b="0" i="0" u="none" strike="noStrike" baseline="0" smtClean="0">
            <a:solidFill>
              <a:schemeClr val="tx1"/>
            </a:solidFill>
            <a:latin typeface="+mn-lt"/>
            <a:ea typeface="+mn-ea"/>
            <a:cs typeface="+mn-cs"/>
          </a:endParaRP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1. Put the system in standby</a:t>
          </a:r>
        </a:p>
        <a:p>
          <a:r>
            <a:rPr lang="en-US" sz="1100" b="0" i="0" u="none" strike="noStrike" baseline="0" smtClean="0">
              <a:solidFill>
                <a:schemeClr val="tx1"/>
              </a:solidFill>
              <a:latin typeface="+mn-lt"/>
              <a:ea typeface="+mn-ea"/>
              <a:cs typeface="+mn-cs"/>
            </a:rPr>
            <a:t>2. On the source housing lift the ZDV ground point holder (with all lines still attached to the ZDV) out of its seat so it is now no longer touching metal which stops the current flow thru the ZDV to ground</a:t>
          </a:r>
        </a:p>
        <a:p>
          <a:r>
            <a:rPr lang="en-US" sz="1100" b="0" i="0" u="none" strike="noStrike" baseline="0" smtClean="0">
              <a:solidFill>
                <a:schemeClr val="tx1"/>
              </a:solidFill>
              <a:latin typeface="+mn-lt"/>
              <a:ea typeface="+mn-ea"/>
              <a:cs typeface="+mn-cs"/>
            </a:rPr>
            <a:t>3. Position the holder such that it is suspended from the attached lines to and from the ZDV so the metal holder is not touching any ground.</a:t>
          </a:r>
        </a:p>
        <a:p>
          <a:r>
            <a:rPr lang="en-US" sz="1100" b="0" i="0" u="none" strike="noStrike" baseline="0" smtClean="0">
              <a:solidFill>
                <a:schemeClr val="tx1"/>
              </a:solidFill>
              <a:latin typeface="+mn-lt"/>
              <a:ea typeface="+mn-ea"/>
              <a:cs typeface="+mn-cs"/>
            </a:rPr>
            <a:t>4. Start scanning the instrument again</a:t>
          </a:r>
        </a:p>
        <a:p>
          <a:r>
            <a:rPr lang="en-US" sz="1100" b="0" i="0" u="none" strike="noStrike" baseline="0" smtClean="0">
              <a:solidFill>
                <a:schemeClr val="tx1"/>
              </a:solidFill>
              <a:latin typeface="+mn-lt"/>
              <a:ea typeface="+mn-ea"/>
              <a:cs typeface="+mn-cs"/>
            </a:rPr>
            <a:t>5. Run your Lens Charging test as normal, you may no longer see the 537 ion appear or it may be reduced to a much lower level as the test proceeds.</a:t>
          </a:r>
        </a:p>
      </xdr:txBody>
    </xdr:sp>
    <xdr:clientData/>
  </xdr:oneCellAnchor>
  <xdr:twoCellAnchor>
    <xdr:from>
      <xdr:col>16</xdr:col>
      <xdr:colOff>9525</xdr:colOff>
      <xdr:row>37</xdr:row>
      <xdr:rowOff>104775</xdr:rowOff>
    </xdr:from>
    <xdr:to>
      <xdr:col>16</xdr:col>
      <xdr:colOff>1223967</xdr:colOff>
      <xdr:row>37</xdr:row>
      <xdr:rowOff>104775</xdr:rowOff>
    </xdr:to>
    <xdr:cxnSp macro="">
      <xdr:nvCxnSpPr>
        <xdr:cNvPr id="92" name="Straight Arrow Connector 91"/>
        <xdr:cNvCxnSpPr/>
      </xdr:nvCxnSpPr>
      <xdr:spPr>
        <a:xfrm>
          <a:off x="19116675" y="7724775"/>
          <a:ext cx="1214442" cy="0"/>
        </a:xfrm>
        <a:prstGeom prst="straightConnector1">
          <a:avLst/>
        </a:prstGeom>
        <a:ln w="57150" cap="sq">
          <a:solidFill>
            <a:schemeClr val="accent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1176337</xdr:colOff>
      <xdr:row>10</xdr:row>
      <xdr:rowOff>47625</xdr:rowOff>
    </xdr:from>
    <xdr:to>
      <xdr:col>1</xdr:col>
      <xdr:colOff>1176337</xdr:colOff>
      <xdr:row>15</xdr:row>
      <xdr:rowOff>0</xdr:rowOff>
    </xdr:to>
    <xdr:cxnSp macro="">
      <xdr:nvCxnSpPr>
        <xdr:cNvPr id="93" name="Straight Arrow Connector 92"/>
        <xdr:cNvCxnSpPr/>
      </xdr:nvCxnSpPr>
      <xdr:spPr>
        <a:xfrm>
          <a:off x="1785937" y="1571625"/>
          <a:ext cx="0" cy="90487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1176337</xdr:colOff>
      <xdr:row>23</xdr:row>
      <xdr:rowOff>38100</xdr:rowOff>
    </xdr:from>
    <xdr:to>
      <xdr:col>1</xdr:col>
      <xdr:colOff>1176337</xdr:colOff>
      <xdr:row>25</xdr:row>
      <xdr:rowOff>361950</xdr:rowOff>
    </xdr:to>
    <xdr:cxnSp macro="">
      <xdr:nvCxnSpPr>
        <xdr:cNvPr id="94" name="Straight Arrow Connector 93"/>
        <xdr:cNvCxnSpPr/>
      </xdr:nvCxnSpPr>
      <xdr:spPr>
        <a:xfrm>
          <a:off x="1785937" y="4610100"/>
          <a:ext cx="0" cy="70485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1176337</xdr:colOff>
      <xdr:row>33</xdr:row>
      <xdr:rowOff>180975</xdr:rowOff>
    </xdr:from>
    <xdr:to>
      <xdr:col>1</xdr:col>
      <xdr:colOff>1176337</xdr:colOff>
      <xdr:row>36</xdr:row>
      <xdr:rowOff>0</xdr:rowOff>
    </xdr:to>
    <xdr:cxnSp macro="">
      <xdr:nvCxnSpPr>
        <xdr:cNvPr id="95" name="Straight Arrow Connector 94"/>
        <xdr:cNvCxnSpPr/>
      </xdr:nvCxnSpPr>
      <xdr:spPr>
        <a:xfrm>
          <a:off x="1785937" y="6848475"/>
          <a:ext cx="0" cy="39052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28575</xdr:colOff>
      <xdr:row>37</xdr:row>
      <xdr:rowOff>9525</xdr:rowOff>
    </xdr:from>
    <xdr:to>
      <xdr:col>5</xdr:col>
      <xdr:colOff>0</xdr:colOff>
      <xdr:row>37</xdr:row>
      <xdr:rowOff>9525</xdr:rowOff>
    </xdr:to>
    <xdr:cxnSp macro="">
      <xdr:nvCxnSpPr>
        <xdr:cNvPr id="98" name="Straight Arrow Connector 97"/>
        <xdr:cNvCxnSpPr/>
      </xdr:nvCxnSpPr>
      <xdr:spPr>
        <a:xfrm>
          <a:off x="3667125" y="7629525"/>
          <a:ext cx="1800225"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1281112</xdr:colOff>
      <xdr:row>41</xdr:row>
      <xdr:rowOff>28575</xdr:rowOff>
    </xdr:from>
    <xdr:to>
      <xdr:col>5</xdr:col>
      <xdr:colOff>1281112</xdr:colOff>
      <xdr:row>43</xdr:row>
      <xdr:rowOff>171450</xdr:rowOff>
    </xdr:to>
    <xdr:cxnSp macro="">
      <xdr:nvCxnSpPr>
        <xdr:cNvPr id="100" name="Straight Arrow Connector 99"/>
        <xdr:cNvCxnSpPr/>
      </xdr:nvCxnSpPr>
      <xdr:spPr>
        <a:xfrm flipH="1">
          <a:off x="6748462" y="8410575"/>
          <a:ext cx="0" cy="52387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1281112</xdr:colOff>
      <xdr:row>49</xdr:row>
      <xdr:rowOff>28575</xdr:rowOff>
    </xdr:from>
    <xdr:to>
      <xdr:col>5</xdr:col>
      <xdr:colOff>1281112</xdr:colOff>
      <xdr:row>51</xdr:row>
      <xdr:rowOff>38100</xdr:rowOff>
    </xdr:to>
    <xdr:cxnSp macro="">
      <xdr:nvCxnSpPr>
        <xdr:cNvPr id="101" name="Straight Arrow Connector 100"/>
        <xdr:cNvCxnSpPr/>
      </xdr:nvCxnSpPr>
      <xdr:spPr>
        <a:xfrm>
          <a:off x="6748462" y="10125075"/>
          <a:ext cx="0" cy="390525"/>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9525</xdr:colOff>
      <xdr:row>51</xdr:row>
      <xdr:rowOff>314325</xdr:rowOff>
    </xdr:from>
    <xdr:to>
      <xdr:col>7</xdr:col>
      <xdr:colOff>219075</xdr:colOff>
      <xdr:row>51</xdr:row>
      <xdr:rowOff>314325</xdr:rowOff>
    </xdr:to>
    <xdr:cxnSp macro="">
      <xdr:nvCxnSpPr>
        <xdr:cNvPr id="102" name="Straight Arrow Connector 101"/>
        <xdr:cNvCxnSpPr/>
      </xdr:nvCxnSpPr>
      <xdr:spPr>
        <a:xfrm>
          <a:off x="8277225" y="10791825"/>
          <a:ext cx="819150" cy="0"/>
        </a:xfrm>
        <a:prstGeom prst="straightConnector1">
          <a:avLst/>
        </a:prstGeom>
        <a:ln w="57150" cap="sq">
          <a:solidFill>
            <a:schemeClr val="tx2">
              <a:lumMod val="60000"/>
              <a:lumOff val="4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238125</xdr:colOff>
      <xdr:row>16</xdr:row>
      <xdr:rowOff>95250</xdr:rowOff>
    </xdr:from>
    <xdr:to>
      <xdr:col>7</xdr:col>
      <xdr:colOff>238125</xdr:colOff>
      <xdr:row>51</xdr:row>
      <xdr:rowOff>314325</xdr:rowOff>
    </xdr:to>
    <xdr:cxnSp macro="">
      <xdr:nvCxnSpPr>
        <xdr:cNvPr id="104" name="Straight Arrow Connector 103"/>
        <xdr:cNvCxnSpPr/>
      </xdr:nvCxnSpPr>
      <xdr:spPr>
        <a:xfrm>
          <a:off x="9115425" y="2762250"/>
          <a:ext cx="0" cy="8029575"/>
        </a:xfrm>
        <a:prstGeom prst="straightConnector1">
          <a:avLst/>
        </a:prstGeom>
        <a:ln w="57150" cap="sq">
          <a:solidFill>
            <a:schemeClr val="tx2">
              <a:lumMod val="60000"/>
              <a:lumOff val="4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247650</xdr:colOff>
      <xdr:row>16</xdr:row>
      <xdr:rowOff>76200</xdr:rowOff>
    </xdr:from>
    <xdr:to>
      <xdr:col>9</xdr:col>
      <xdr:colOff>590550</xdr:colOff>
      <xdr:row>16</xdr:row>
      <xdr:rowOff>76200</xdr:rowOff>
    </xdr:to>
    <xdr:cxnSp macro="">
      <xdr:nvCxnSpPr>
        <xdr:cNvPr id="107" name="Straight Arrow Connector 106"/>
        <xdr:cNvCxnSpPr/>
      </xdr:nvCxnSpPr>
      <xdr:spPr>
        <a:xfrm>
          <a:off x="9124950" y="2743200"/>
          <a:ext cx="1562100" cy="0"/>
        </a:xfrm>
        <a:prstGeom prst="straightConnector1">
          <a:avLst/>
        </a:prstGeom>
        <a:ln w="57150" cap="sq">
          <a:solidFill>
            <a:schemeClr val="tx2">
              <a:lumMod val="60000"/>
              <a:lumOff val="4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0</xdr:col>
      <xdr:colOff>561975</xdr:colOff>
      <xdr:row>47</xdr:row>
      <xdr:rowOff>47625</xdr:rowOff>
    </xdr:from>
    <xdr:ext cx="3267075" cy="1986826"/>
    <xdr:sp macro="" textlink="">
      <xdr:nvSpPr>
        <xdr:cNvPr id="110" name="TextBox 109"/>
        <xdr:cNvSpPr txBox="1"/>
      </xdr:nvSpPr>
      <xdr:spPr>
        <a:xfrm>
          <a:off x="561975" y="9763125"/>
          <a:ext cx="3267075" cy="1986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baseline="0" smtClean="0">
              <a:solidFill>
                <a:srgbClr val="FF0000"/>
              </a:solidFill>
              <a:latin typeface="+mn-lt"/>
              <a:ea typeface="+mn-ea"/>
              <a:cs typeface="+mn-cs"/>
            </a:rPr>
            <a:t>Note 1</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If the Quad had been physically removed for cleaning &amp; you have issues trying to run the Normal Quad Calibrations then it is recommended to run the following procedure, it should be run in the order shown.</a:t>
          </a:r>
        </a:p>
        <a:p>
          <a:r>
            <a:rPr lang="en-US" sz="1100" b="0" i="0" u="none" strike="noStrike" baseline="0" smtClean="0">
              <a:solidFill>
                <a:schemeClr val="tx1"/>
              </a:solidFill>
              <a:latin typeface="+mn-lt"/>
              <a:ea typeface="+mn-ea"/>
              <a:cs typeface="+mn-cs"/>
            </a:rPr>
            <a:t>These steps will take ~ 2 to 3 hours time to complete. </a:t>
          </a:r>
        </a:p>
        <a:p>
          <a:r>
            <a:rPr lang="en-US" sz="1100" b="0" i="0" u="none" strike="noStrike" baseline="0" smtClean="0">
              <a:solidFill>
                <a:schemeClr val="tx1"/>
              </a:solidFill>
              <a:latin typeface="+mn-lt"/>
              <a:ea typeface="+mn-ea"/>
              <a:cs typeface="+mn-cs"/>
            </a:rPr>
            <a:t>When these are complete return to the main Cali Tree where you left off and continue as normal starting with the Orbitrap –All w/pAGC.</a:t>
          </a:r>
          <a:endParaRPr lang="en-US" sz="1100"/>
        </a:p>
      </xdr:txBody>
    </xdr:sp>
    <xdr:clientData/>
  </xdr:oneCellAnchor>
  <xdr:twoCellAnchor>
    <xdr:from>
      <xdr:col>1</xdr:col>
      <xdr:colOff>1228725</xdr:colOff>
      <xdr:row>46</xdr:row>
      <xdr:rowOff>57150</xdr:rowOff>
    </xdr:from>
    <xdr:to>
      <xdr:col>3</xdr:col>
      <xdr:colOff>314325</xdr:colOff>
      <xdr:row>46</xdr:row>
      <xdr:rowOff>66675</xdr:rowOff>
    </xdr:to>
    <xdr:cxnSp macro="">
      <xdr:nvCxnSpPr>
        <xdr:cNvPr id="111" name="Straight Arrow Connector 110"/>
        <xdr:cNvCxnSpPr/>
      </xdr:nvCxnSpPr>
      <xdr:spPr>
        <a:xfrm>
          <a:off x="1838325" y="9391650"/>
          <a:ext cx="2838450" cy="9525"/>
        </a:xfrm>
        <a:prstGeom prst="straightConnector1">
          <a:avLst/>
        </a:prstGeom>
        <a:ln w="57150" cap="sq">
          <a:solidFill>
            <a:schemeClr val="accent2">
              <a:lumMod val="20000"/>
              <a:lumOff val="8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1219200</xdr:colOff>
      <xdr:row>46</xdr:row>
      <xdr:rowOff>57153</xdr:rowOff>
    </xdr:from>
    <xdr:to>
      <xdr:col>1</xdr:col>
      <xdr:colOff>1228726</xdr:colOff>
      <xdr:row>47</xdr:row>
      <xdr:rowOff>28575</xdr:rowOff>
    </xdr:to>
    <xdr:cxnSp macro="">
      <xdr:nvCxnSpPr>
        <xdr:cNvPr id="112" name="Straight Arrow Connector 111"/>
        <xdr:cNvCxnSpPr/>
      </xdr:nvCxnSpPr>
      <xdr:spPr>
        <a:xfrm flipH="1">
          <a:off x="1828800" y="9391653"/>
          <a:ext cx="9526" cy="352422"/>
        </a:xfrm>
        <a:prstGeom prst="straightConnector1">
          <a:avLst/>
        </a:prstGeom>
        <a:ln w="57150" cap="sq">
          <a:solidFill>
            <a:schemeClr val="accent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333375</xdr:colOff>
      <xdr:row>39</xdr:row>
      <xdr:rowOff>104778</xdr:rowOff>
    </xdr:from>
    <xdr:to>
      <xdr:col>3</xdr:col>
      <xdr:colOff>333375</xdr:colOff>
      <xdr:row>46</xdr:row>
      <xdr:rowOff>61914</xdr:rowOff>
    </xdr:to>
    <xdr:cxnSp macro="">
      <xdr:nvCxnSpPr>
        <xdr:cNvPr id="115" name="Straight Arrow Connector 114"/>
        <xdr:cNvCxnSpPr/>
      </xdr:nvCxnSpPr>
      <xdr:spPr>
        <a:xfrm>
          <a:off x="4695825" y="8105778"/>
          <a:ext cx="0" cy="1290636"/>
        </a:xfrm>
        <a:prstGeom prst="straightConnector1">
          <a:avLst/>
        </a:prstGeom>
        <a:ln w="57150" cap="sq">
          <a:solidFill>
            <a:schemeClr val="accent2">
              <a:lumMod val="20000"/>
              <a:lumOff val="8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333375</xdr:colOff>
      <xdr:row>39</xdr:row>
      <xdr:rowOff>95250</xdr:rowOff>
    </xdr:from>
    <xdr:to>
      <xdr:col>5</xdr:col>
      <xdr:colOff>0</xdr:colOff>
      <xdr:row>39</xdr:row>
      <xdr:rowOff>95250</xdr:rowOff>
    </xdr:to>
    <xdr:cxnSp macro="">
      <xdr:nvCxnSpPr>
        <xdr:cNvPr id="117" name="Straight Arrow Connector 116"/>
        <xdr:cNvCxnSpPr/>
      </xdr:nvCxnSpPr>
      <xdr:spPr>
        <a:xfrm>
          <a:off x="4695825" y="8096250"/>
          <a:ext cx="885825" cy="0"/>
        </a:xfrm>
        <a:prstGeom prst="straightConnector1">
          <a:avLst/>
        </a:prstGeom>
        <a:ln w="57150" cap="sq">
          <a:solidFill>
            <a:schemeClr val="accent2">
              <a:lumMod val="20000"/>
              <a:lumOff val="8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14</xdr:col>
      <xdr:colOff>571500</xdr:colOff>
      <xdr:row>6</xdr:row>
      <xdr:rowOff>0</xdr:rowOff>
    </xdr:from>
    <xdr:ext cx="2790825" cy="1297919"/>
    <xdr:sp macro="" textlink="">
      <xdr:nvSpPr>
        <xdr:cNvPr id="121" name="TextBox 120"/>
        <xdr:cNvSpPr txBox="1"/>
      </xdr:nvSpPr>
      <xdr:spPr>
        <a:xfrm>
          <a:off x="16363950" y="571500"/>
          <a:ext cx="2790825"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baseline="0" smtClean="0">
              <a:solidFill>
                <a:srgbClr val="FF0000"/>
              </a:solidFill>
              <a:latin typeface="+mn-lt"/>
              <a:ea typeface="+mn-ea"/>
              <a:cs typeface="+mn-cs"/>
            </a:rPr>
            <a:t>Note 2</a:t>
          </a:r>
        </a:p>
        <a:p>
          <a:endParaRPr lang="en-US" sz="1100" b="0" i="0" u="none" strike="noStrike" baseline="0" smtClean="0">
            <a:solidFill>
              <a:schemeClr val="tx1"/>
            </a:solidFill>
            <a:latin typeface="+mn-lt"/>
            <a:ea typeface="+mn-ea"/>
            <a:cs typeface="+mn-cs"/>
          </a:endParaRPr>
        </a:p>
        <a:p>
          <a:r>
            <a:rPr lang="en-US" sz="1100" b="0" i="0" u="none" strike="noStrike" baseline="0" smtClean="0">
              <a:solidFill>
                <a:schemeClr val="tx1"/>
              </a:solidFill>
              <a:latin typeface="+mn-lt"/>
              <a:ea typeface="+mn-ea"/>
              <a:cs typeface="+mn-cs"/>
            </a:rPr>
            <a:t>If either of the 2 OT Diags failed then run the following in the order shown.</a:t>
          </a:r>
        </a:p>
        <a:p>
          <a:r>
            <a:rPr lang="en-US" sz="1100" b="0" i="0" u="none" strike="noStrike" baseline="0" smtClean="0">
              <a:solidFill>
                <a:schemeClr val="tx1"/>
              </a:solidFill>
              <a:latin typeface="+mn-lt"/>
              <a:ea typeface="+mn-ea"/>
              <a:cs typeface="+mn-cs"/>
            </a:rPr>
            <a:t>When these are complete return and continue with the next Diagnostic step for the Orbitrap “Evaluate Isotope Interactions“</a:t>
          </a:r>
          <a:endParaRPr lang="en-US" sz="1100"/>
        </a:p>
      </xdr:txBody>
    </xdr:sp>
    <xdr:clientData/>
  </xdr:oneCellAnchor>
  <xdr:twoCellAnchor>
    <xdr:from>
      <xdr:col>10</xdr:col>
      <xdr:colOff>3124200</xdr:colOff>
      <xdr:row>15</xdr:row>
      <xdr:rowOff>142875</xdr:rowOff>
    </xdr:from>
    <xdr:to>
      <xdr:col>12</xdr:col>
      <xdr:colOff>585792</xdr:colOff>
      <xdr:row>15</xdr:row>
      <xdr:rowOff>142875</xdr:rowOff>
    </xdr:to>
    <xdr:cxnSp macro="">
      <xdr:nvCxnSpPr>
        <xdr:cNvPr id="122" name="Straight Arrow Connector 121"/>
        <xdr:cNvCxnSpPr/>
      </xdr:nvCxnSpPr>
      <xdr:spPr>
        <a:xfrm>
          <a:off x="13944600" y="2619375"/>
          <a:ext cx="1214442" cy="0"/>
        </a:xfrm>
        <a:prstGeom prst="straightConnector1">
          <a:avLst/>
        </a:prstGeom>
        <a:ln w="57150" cap="sq">
          <a:solidFill>
            <a:schemeClr val="accent2">
              <a:lumMod val="20000"/>
              <a:lumOff val="8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581025</xdr:colOff>
      <xdr:row>6</xdr:row>
      <xdr:rowOff>152400</xdr:rowOff>
    </xdr:from>
    <xdr:to>
      <xdr:col>14</xdr:col>
      <xdr:colOff>576267</xdr:colOff>
      <xdr:row>6</xdr:row>
      <xdr:rowOff>152400</xdr:rowOff>
    </xdr:to>
    <xdr:cxnSp macro="">
      <xdr:nvCxnSpPr>
        <xdr:cNvPr id="123" name="Straight Arrow Connector 122"/>
        <xdr:cNvCxnSpPr/>
      </xdr:nvCxnSpPr>
      <xdr:spPr>
        <a:xfrm>
          <a:off x="15154275" y="723900"/>
          <a:ext cx="1214442" cy="0"/>
        </a:xfrm>
        <a:prstGeom prst="straightConnector1">
          <a:avLst/>
        </a:prstGeom>
        <a:ln w="57150" cap="sq">
          <a:solidFill>
            <a:schemeClr val="accent2">
              <a:lumMod val="20000"/>
              <a:lumOff val="80000"/>
            </a:schemeClr>
          </a:solidFill>
          <a:tailEnd type="stealth"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581025</xdr:colOff>
      <xdr:row>6</xdr:row>
      <xdr:rowOff>152400</xdr:rowOff>
    </xdr:from>
    <xdr:to>
      <xdr:col>12</xdr:col>
      <xdr:colOff>581025</xdr:colOff>
      <xdr:row>15</xdr:row>
      <xdr:rowOff>142875</xdr:rowOff>
    </xdr:to>
    <xdr:cxnSp macro="">
      <xdr:nvCxnSpPr>
        <xdr:cNvPr id="124" name="Straight Arrow Connector 123"/>
        <xdr:cNvCxnSpPr/>
      </xdr:nvCxnSpPr>
      <xdr:spPr>
        <a:xfrm>
          <a:off x="15154275" y="723900"/>
          <a:ext cx="0" cy="1895475"/>
        </a:xfrm>
        <a:prstGeom prst="straightConnector1">
          <a:avLst/>
        </a:prstGeom>
        <a:ln w="57150" cap="sq">
          <a:solidFill>
            <a:schemeClr val="accent2">
              <a:lumMod val="20000"/>
              <a:lumOff val="80000"/>
            </a:schemeClr>
          </a:solidFill>
          <a:tailEnd type="none"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24</xdr:col>
      <xdr:colOff>304801</xdr:colOff>
      <xdr:row>36</xdr:row>
      <xdr:rowOff>257175</xdr:rowOff>
    </xdr:from>
    <xdr:to>
      <xdr:col>40</xdr:col>
      <xdr:colOff>152401</xdr:colOff>
      <xdr:row>60</xdr:row>
      <xdr:rowOff>129642</xdr:rowOff>
    </xdr:to>
    <xdr:pic>
      <xdr:nvPicPr>
        <xdr:cNvPr id="126" name="Picture 125"/>
        <xdr:cNvPicPr>
          <a:picLocks noChangeAspect="1"/>
        </xdr:cNvPicPr>
      </xdr:nvPicPr>
      <xdr:blipFill>
        <a:blip xmlns:r="http://schemas.openxmlformats.org/officeDocument/2006/relationships" r:embed="rId1"/>
        <a:stretch>
          <a:fillRect/>
        </a:stretch>
      </xdr:blipFill>
      <xdr:spPr>
        <a:xfrm>
          <a:off x="33118426" y="7324725"/>
          <a:ext cx="9601200" cy="5015967"/>
        </a:xfrm>
        <a:prstGeom prst="rect">
          <a:avLst/>
        </a:prstGeom>
      </xdr:spPr>
    </xdr:pic>
    <xdr:clientData/>
  </xdr:twoCellAnchor>
  <xdr:twoCellAnchor editAs="oneCell">
    <xdr:from>
      <xdr:col>25</xdr:col>
      <xdr:colOff>28575</xdr:colOff>
      <xdr:row>61</xdr:row>
      <xdr:rowOff>180975</xdr:rowOff>
    </xdr:from>
    <xdr:to>
      <xdr:col>35</xdr:col>
      <xdr:colOff>332575</xdr:colOff>
      <xdr:row>85</xdr:row>
      <xdr:rowOff>27951</xdr:rowOff>
    </xdr:to>
    <xdr:pic>
      <xdr:nvPicPr>
        <xdr:cNvPr id="127" name="Picture 126"/>
        <xdr:cNvPicPr>
          <a:picLocks noChangeAspect="1"/>
        </xdr:cNvPicPr>
      </xdr:nvPicPr>
      <xdr:blipFill>
        <a:blip xmlns:r="http://schemas.openxmlformats.org/officeDocument/2006/relationships" r:embed="rId2"/>
        <a:stretch>
          <a:fillRect/>
        </a:stretch>
      </xdr:blipFill>
      <xdr:spPr>
        <a:xfrm>
          <a:off x="33451800" y="12582525"/>
          <a:ext cx="6400000" cy="4990476"/>
        </a:xfrm>
        <a:prstGeom prst="rect">
          <a:avLst/>
        </a:prstGeom>
      </xdr:spPr>
    </xdr:pic>
    <xdr:clientData/>
  </xdr:twoCellAnchor>
  <xdr:twoCellAnchor editAs="oneCell">
    <xdr:from>
      <xdr:col>36</xdr:col>
      <xdr:colOff>0</xdr:colOff>
      <xdr:row>64</xdr:row>
      <xdr:rowOff>76200</xdr:rowOff>
    </xdr:from>
    <xdr:to>
      <xdr:col>46</xdr:col>
      <xdr:colOff>284952</xdr:colOff>
      <xdr:row>85</xdr:row>
      <xdr:rowOff>37533</xdr:rowOff>
    </xdr:to>
    <xdr:pic>
      <xdr:nvPicPr>
        <xdr:cNvPr id="128" name="Picture 127"/>
        <xdr:cNvPicPr>
          <a:picLocks noChangeAspect="1"/>
        </xdr:cNvPicPr>
      </xdr:nvPicPr>
      <xdr:blipFill>
        <a:blip xmlns:r="http://schemas.openxmlformats.org/officeDocument/2006/relationships" r:embed="rId3"/>
        <a:stretch>
          <a:fillRect/>
        </a:stretch>
      </xdr:blipFill>
      <xdr:spPr>
        <a:xfrm>
          <a:off x="40128825" y="13049250"/>
          <a:ext cx="6380952" cy="4533333"/>
        </a:xfrm>
        <a:prstGeom prst="rect">
          <a:avLst/>
        </a:prstGeom>
      </xdr:spPr>
    </xdr:pic>
    <xdr:clientData/>
  </xdr:twoCellAnchor>
  <xdr:twoCellAnchor>
    <xdr:from>
      <xdr:col>25</xdr:col>
      <xdr:colOff>161925</xdr:colOff>
      <xdr:row>48</xdr:row>
      <xdr:rowOff>104775</xdr:rowOff>
    </xdr:from>
    <xdr:to>
      <xdr:col>26</xdr:col>
      <xdr:colOff>457200</xdr:colOff>
      <xdr:row>53</xdr:row>
      <xdr:rowOff>66675</xdr:rowOff>
    </xdr:to>
    <xdr:sp macro="" textlink="">
      <xdr:nvSpPr>
        <xdr:cNvPr id="129" name="Rectangle 128"/>
        <xdr:cNvSpPr/>
      </xdr:nvSpPr>
      <xdr:spPr>
        <a:xfrm>
          <a:off x="33585150" y="9839325"/>
          <a:ext cx="904875" cy="1104900"/>
        </a:xfrm>
        <a:prstGeom prst="rect">
          <a:avLst/>
        </a:prstGeom>
        <a:solidFill>
          <a:srgbClr val="37F95C">
            <a:alpha val="12157"/>
          </a:srgbClr>
        </a:solidFill>
        <a:ln w="28575">
          <a:solidFill>
            <a:srgbClr val="37F95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466725</xdr:colOff>
      <xdr:row>48</xdr:row>
      <xdr:rowOff>104775</xdr:rowOff>
    </xdr:from>
    <xdr:to>
      <xdr:col>27</xdr:col>
      <xdr:colOff>133350</xdr:colOff>
      <xdr:row>53</xdr:row>
      <xdr:rowOff>66675</xdr:rowOff>
    </xdr:to>
    <xdr:sp macro="" textlink="">
      <xdr:nvSpPr>
        <xdr:cNvPr id="130" name="Rectangle 129"/>
        <xdr:cNvSpPr/>
      </xdr:nvSpPr>
      <xdr:spPr>
        <a:xfrm>
          <a:off x="34499550" y="9839325"/>
          <a:ext cx="276225" cy="1104900"/>
        </a:xfrm>
        <a:prstGeom prst="rect">
          <a:avLst/>
        </a:prstGeom>
        <a:solidFill>
          <a:srgbClr val="4E42EE">
            <a:alpha val="12157"/>
          </a:srgbClr>
        </a:solidFill>
        <a:ln w="28575">
          <a:solidFill>
            <a:srgbClr val="4E42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133351</xdr:colOff>
      <xdr:row>48</xdr:row>
      <xdr:rowOff>104775</xdr:rowOff>
    </xdr:from>
    <xdr:to>
      <xdr:col>28</xdr:col>
      <xdr:colOff>133350</xdr:colOff>
      <xdr:row>53</xdr:row>
      <xdr:rowOff>66675</xdr:rowOff>
    </xdr:to>
    <xdr:sp macro="" textlink="">
      <xdr:nvSpPr>
        <xdr:cNvPr id="131" name="Rectangle 130"/>
        <xdr:cNvSpPr/>
      </xdr:nvSpPr>
      <xdr:spPr>
        <a:xfrm>
          <a:off x="34775776" y="9839325"/>
          <a:ext cx="609599" cy="1104900"/>
        </a:xfrm>
        <a:prstGeom prst="rect">
          <a:avLst/>
        </a:prstGeom>
        <a:solidFill>
          <a:srgbClr val="FF9900">
            <a:alpha val="12157"/>
          </a:srgbClr>
        </a:solidFill>
        <a:ln w="28575">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171450</xdr:colOff>
      <xdr:row>48</xdr:row>
      <xdr:rowOff>104775</xdr:rowOff>
    </xdr:from>
    <xdr:to>
      <xdr:col>28</xdr:col>
      <xdr:colOff>314325</xdr:colOff>
      <xdr:row>53</xdr:row>
      <xdr:rowOff>66675</xdr:rowOff>
    </xdr:to>
    <xdr:sp macro="" textlink="">
      <xdr:nvSpPr>
        <xdr:cNvPr id="132" name="Rectangle 131"/>
        <xdr:cNvSpPr/>
      </xdr:nvSpPr>
      <xdr:spPr>
        <a:xfrm>
          <a:off x="35423475" y="9839325"/>
          <a:ext cx="142875" cy="1104900"/>
        </a:xfrm>
        <a:prstGeom prst="rect">
          <a:avLst/>
        </a:prstGeom>
        <a:solidFill>
          <a:srgbClr val="00FFFF">
            <a:alpha val="12157"/>
          </a:srgbClr>
        </a:solidFill>
        <a:ln w="28575">
          <a:solidFill>
            <a:srgbClr val="00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342900</xdr:colOff>
      <xdr:row>48</xdr:row>
      <xdr:rowOff>104775</xdr:rowOff>
    </xdr:from>
    <xdr:to>
      <xdr:col>31</xdr:col>
      <xdr:colOff>95250</xdr:colOff>
      <xdr:row>53</xdr:row>
      <xdr:rowOff>66675</xdr:rowOff>
    </xdr:to>
    <xdr:sp macro="" textlink="">
      <xdr:nvSpPr>
        <xdr:cNvPr id="133" name="Rectangle 132"/>
        <xdr:cNvSpPr/>
      </xdr:nvSpPr>
      <xdr:spPr>
        <a:xfrm>
          <a:off x="35594925" y="9839325"/>
          <a:ext cx="1581150" cy="1104900"/>
        </a:xfrm>
        <a:prstGeom prst="rect">
          <a:avLst/>
        </a:prstGeom>
        <a:solidFill>
          <a:srgbClr val="FF66FF">
            <a:alpha val="12157"/>
          </a:srgbClr>
        </a:solidFill>
        <a:ln w="28575">
          <a:solidFill>
            <a:srgbClr val="FF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104775</xdr:colOff>
      <xdr:row>48</xdr:row>
      <xdr:rowOff>104775</xdr:rowOff>
    </xdr:from>
    <xdr:to>
      <xdr:col>31</xdr:col>
      <xdr:colOff>247650</xdr:colOff>
      <xdr:row>53</xdr:row>
      <xdr:rowOff>66675</xdr:rowOff>
    </xdr:to>
    <xdr:sp macro="" textlink="">
      <xdr:nvSpPr>
        <xdr:cNvPr id="134" name="Rectangle 133"/>
        <xdr:cNvSpPr/>
      </xdr:nvSpPr>
      <xdr:spPr>
        <a:xfrm>
          <a:off x="37185600" y="9839325"/>
          <a:ext cx="142875" cy="1104900"/>
        </a:xfrm>
        <a:prstGeom prst="rect">
          <a:avLst/>
        </a:prstGeom>
        <a:solidFill>
          <a:srgbClr val="800000">
            <a:alpha val="12157"/>
          </a:srgbClr>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276225</xdr:colOff>
      <xdr:row>48</xdr:row>
      <xdr:rowOff>104775</xdr:rowOff>
    </xdr:from>
    <xdr:to>
      <xdr:col>31</xdr:col>
      <xdr:colOff>419100</xdr:colOff>
      <xdr:row>53</xdr:row>
      <xdr:rowOff>66675</xdr:rowOff>
    </xdr:to>
    <xdr:sp macro="" textlink="">
      <xdr:nvSpPr>
        <xdr:cNvPr id="135" name="Rectangle 134"/>
        <xdr:cNvSpPr/>
      </xdr:nvSpPr>
      <xdr:spPr>
        <a:xfrm>
          <a:off x="37357050" y="9839325"/>
          <a:ext cx="142875" cy="1104900"/>
        </a:xfrm>
        <a:prstGeom prst="rect">
          <a:avLst/>
        </a:prstGeom>
        <a:solidFill>
          <a:srgbClr val="808000">
            <a:alpha val="12157"/>
          </a:srgbClr>
        </a:solidFill>
        <a:ln w="28575">
          <a:solidFill>
            <a:srgbClr val="808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428625</xdr:colOff>
      <xdr:row>48</xdr:row>
      <xdr:rowOff>104775</xdr:rowOff>
    </xdr:from>
    <xdr:to>
      <xdr:col>33</xdr:col>
      <xdr:colOff>19050</xdr:colOff>
      <xdr:row>53</xdr:row>
      <xdr:rowOff>66675</xdr:rowOff>
    </xdr:to>
    <xdr:sp macro="" textlink="">
      <xdr:nvSpPr>
        <xdr:cNvPr id="136" name="Rectangle 135"/>
        <xdr:cNvSpPr/>
      </xdr:nvSpPr>
      <xdr:spPr>
        <a:xfrm>
          <a:off x="37509450" y="9839325"/>
          <a:ext cx="809625" cy="1104900"/>
        </a:xfrm>
        <a:prstGeom prst="rect">
          <a:avLst/>
        </a:prstGeom>
        <a:solidFill>
          <a:srgbClr val="009900">
            <a:alpha val="12157"/>
          </a:srgbClr>
        </a:solidFill>
        <a:ln w="28575">
          <a:solidFill>
            <a:srgbClr val="00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57150</xdr:colOff>
      <xdr:row>48</xdr:row>
      <xdr:rowOff>104775</xdr:rowOff>
    </xdr:from>
    <xdr:to>
      <xdr:col>33</xdr:col>
      <xdr:colOff>200025</xdr:colOff>
      <xdr:row>53</xdr:row>
      <xdr:rowOff>66675</xdr:rowOff>
    </xdr:to>
    <xdr:sp macro="" textlink="">
      <xdr:nvSpPr>
        <xdr:cNvPr id="137" name="Rectangle 136"/>
        <xdr:cNvSpPr/>
      </xdr:nvSpPr>
      <xdr:spPr>
        <a:xfrm>
          <a:off x="38357175" y="9839325"/>
          <a:ext cx="142875" cy="1104900"/>
        </a:xfrm>
        <a:prstGeom prst="rect">
          <a:avLst/>
        </a:prstGeom>
        <a:solidFill>
          <a:srgbClr val="800080">
            <a:alpha val="12157"/>
          </a:srgbClr>
        </a:solidFill>
        <a:ln w="28575">
          <a:solidFill>
            <a:srgbClr val="80008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228600</xdr:colOff>
      <xdr:row>48</xdr:row>
      <xdr:rowOff>104775</xdr:rowOff>
    </xdr:from>
    <xdr:to>
      <xdr:col>34</xdr:col>
      <xdr:colOff>57150</xdr:colOff>
      <xdr:row>53</xdr:row>
      <xdr:rowOff>66675</xdr:rowOff>
    </xdr:to>
    <xdr:sp macro="" textlink="">
      <xdr:nvSpPr>
        <xdr:cNvPr id="138" name="Rectangle 137"/>
        <xdr:cNvSpPr/>
      </xdr:nvSpPr>
      <xdr:spPr>
        <a:xfrm>
          <a:off x="38528625" y="9839325"/>
          <a:ext cx="438150" cy="1104900"/>
        </a:xfrm>
        <a:prstGeom prst="rect">
          <a:avLst/>
        </a:prstGeom>
        <a:solidFill>
          <a:srgbClr val="009999">
            <a:alpha val="12157"/>
          </a:srgbClr>
        </a:solidFill>
        <a:ln w="28575">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95250</xdr:colOff>
      <xdr:row>48</xdr:row>
      <xdr:rowOff>104775</xdr:rowOff>
    </xdr:from>
    <xdr:to>
      <xdr:col>35</xdr:col>
      <xdr:colOff>466725</xdr:colOff>
      <xdr:row>53</xdr:row>
      <xdr:rowOff>66675</xdr:rowOff>
    </xdr:to>
    <xdr:sp macro="" textlink="">
      <xdr:nvSpPr>
        <xdr:cNvPr id="139" name="Rectangle 138"/>
        <xdr:cNvSpPr/>
      </xdr:nvSpPr>
      <xdr:spPr>
        <a:xfrm>
          <a:off x="39004875" y="9839325"/>
          <a:ext cx="981075" cy="1104900"/>
        </a:xfrm>
        <a:prstGeom prst="rect">
          <a:avLst/>
        </a:prstGeom>
        <a:solidFill>
          <a:srgbClr val="000066">
            <a:alpha val="12157"/>
          </a:srgbClr>
        </a:solidFill>
        <a:ln w="28575">
          <a:solidFill>
            <a:srgbClr val="00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485776</xdr:colOff>
      <xdr:row>48</xdr:row>
      <xdr:rowOff>104775</xdr:rowOff>
    </xdr:from>
    <xdr:to>
      <xdr:col>35</xdr:col>
      <xdr:colOff>581026</xdr:colOff>
      <xdr:row>53</xdr:row>
      <xdr:rowOff>66675</xdr:rowOff>
    </xdr:to>
    <xdr:sp macro="" textlink="">
      <xdr:nvSpPr>
        <xdr:cNvPr id="140" name="Rectangle 139"/>
        <xdr:cNvSpPr/>
      </xdr:nvSpPr>
      <xdr:spPr>
        <a:xfrm>
          <a:off x="40005001" y="9839325"/>
          <a:ext cx="95250" cy="1104900"/>
        </a:xfrm>
        <a:prstGeom prst="rect">
          <a:avLst/>
        </a:prstGeom>
        <a:solidFill>
          <a:srgbClr val="FF3399">
            <a:alpha val="12157"/>
          </a:srgbClr>
        </a:solidFill>
        <a:ln w="28575">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0</xdr:colOff>
      <xdr:row>48</xdr:row>
      <xdr:rowOff>104775</xdr:rowOff>
    </xdr:from>
    <xdr:to>
      <xdr:col>37</xdr:col>
      <xdr:colOff>295275</xdr:colOff>
      <xdr:row>53</xdr:row>
      <xdr:rowOff>66675</xdr:rowOff>
    </xdr:to>
    <xdr:sp macro="" textlink="">
      <xdr:nvSpPr>
        <xdr:cNvPr id="141" name="Rectangle 140"/>
        <xdr:cNvSpPr/>
      </xdr:nvSpPr>
      <xdr:spPr>
        <a:xfrm>
          <a:off x="40128825" y="9839325"/>
          <a:ext cx="904875" cy="1104900"/>
        </a:xfrm>
        <a:prstGeom prst="rect">
          <a:avLst/>
        </a:prstGeom>
        <a:solidFill>
          <a:srgbClr val="99FF99">
            <a:alpha val="12157"/>
          </a:srgbClr>
        </a:solidFill>
        <a:ln w="28575">
          <a:solidFill>
            <a:srgbClr val="99FF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323850</xdr:colOff>
      <xdr:row>48</xdr:row>
      <xdr:rowOff>104775</xdr:rowOff>
    </xdr:from>
    <xdr:to>
      <xdr:col>38</xdr:col>
      <xdr:colOff>409575</xdr:colOff>
      <xdr:row>53</xdr:row>
      <xdr:rowOff>66675</xdr:rowOff>
    </xdr:to>
    <xdr:sp macro="" textlink="">
      <xdr:nvSpPr>
        <xdr:cNvPr id="142" name="Rectangle 141"/>
        <xdr:cNvSpPr/>
      </xdr:nvSpPr>
      <xdr:spPr>
        <a:xfrm>
          <a:off x="41062275" y="9839325"/>
          <a:ext cx="695325" cy="1104900"/>
        </a:xfrm>
        <a:prstGeom prst="rect">
          <a:avLst/>
        </a:prstGeom>
        <a:solidFill>
          <a:srgbClr val="800000">
            <a:alpha val="12157"/>
          </a:srgbClr>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457200</xdr:colOff>
      <xdr:row>48</xdr:row>
      <xdr:rowOff>104775</xdr:rowOff>
    </xdr:from>
    <xdr:to>
      <xdr:col>39</xdr:col>
      <xdr:colOff>542925</xdr:colOff>
      <xdr:row>53</xdr:row>
      <xdr:rowOff>66675</xdr:rowOff>
    </xdr:to>
    <xdr:sp macro="" textlink="">
      <xdr:nvSpPr>
        <xdr:cNvPr id="144" name="Rectangle 143"/>
        <xdr:cNvSpPr/>
      </xdr:nvSpPr>
      <xdr:spPr>
        <a:xfrm>
          <a:off x="41805225" y="9839325"/>
          <a:ext cx="695325" cy="1104900"/>
        </a:xfrm>
        <a:prstGeom prst="rect">
          <a:avLst/>
        </a:prstGeom>
        <a:solidFill>
          <a:schemeClr val="bg1">
            <a:lumMod val="85000"/>
            <a:alpha val="12157"/>
          </a:schemeClr>
        </a:solidFill>
        <a:ln w="285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66675</xdr:colOff>
      <xdr:row>71</xdr:row>
      <xdr:rowOff>95249</xdr:rowOff>
    </xdr:from>
    <xdr:to>
      <xdr:col>34</xdr:col>
      <xdr:colOff>283845</xdr:colOff>
      <xdr:row>73</xdr:row>
      <xdr:rowOff>28574</xdr:rowOff>
    </xdr:to>
    <xdr:grpSp>
      <xdr:nvGrpSpPr>
        <xdr:cNvPr id="160" name="Group 159"/>
        <xdr:cNvGrpSpPr/>
      </xdr:nvGrpSpPr>
      <xdr:grpSpPr>
        <a:xfrm>
          <a:off x="27765375" y="15697199"/>
          <a:ext cx="4484370" cy="314325"/>
          <a:chOff x="34642425" y="13649325"/>
          <a:chExt cx="4484370" cy="1104900"/>
        </a:xfrm>
      </xdr:grpSpPr>
      <xdr:sp macro="" textlink="">
        <xdr:nvSpPr>
          <xdr:cNvPr id="145" name="Rectangle 144"/>
          <xdr:cNvSpPr/>
        </xdr:nvSpPr>
        <xdr:spPr>
          <a:xfrm>
            <a:off x="34642425" y="13649325"/>
            <a:ext cx="274320" cy="1104900"/>
          </a:xfrm>
          <a:prstGeom prst="rect">
            <a:avLst/>
          </a:prstGeom>
          <a:solidFill>
            <a:srgbClr val="37F95C">
              <a:alpha val="12157"/>
            </a:srgbClr>
          </a:solidFill>
          <a:ln w="28575">
            <a:solidFill>
              <a:srgbClr val="37F95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6" name="Rectangle 145"/>
          <xdr:cNvSpPr/>
        </xdr:nvSpPr>
        <xdr:spPr>
          <a:xfrm>
            <a:off x="34943143" y="13649325"/>
            <a:ext cx="274320" cy="1104900"/>
          </a:xfrm>
          <a:prstGeom prst="rect">
            <a:avLst/>
          </a:prstGeom>
          <a:solidFill>
            <a:srgbClr val="4E42EE">
              <a:alpha val="12157"/>
            </a:srgbClr>
          </a:solidFill>
          <a:ln w="28575">
            <a:solidFill>
              <a:srgbClr val="4E42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7" name="Rectangle 146"/>
          <xdr:cNvSpPr/>
        </xdr:nvSpPr>
        <xdr:spPr>
          <a:xfrm>
            <a:off x="35243861" y="13649325"/>
            <a:ext cx="274320" cy="1104900"/>
          </a:xfrm>
          <a:prstGeom prst="rect">
            <a:avLst/>
          </a:prstGeom>
          <a:solidFill>
            <a:srgbClr val="FF9900">
              <a:alpha val="12157"/>
            </a:srgbClr>
          </a:solidFill>
          <a:ln w="28575">
            <a:solidFill>
              <a:srgbClr val="FF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8" name="Rectangle 147"/>
          <xdr:cNvSpPr/>
        </xdr:nvSpPr>
        <xdr:spPr>
          <a:xfrm>
            <a:off x="35544579" y="13649325"/>
            <a:ext cx="274320" cy="1104900"/>
          </a:xfrm>
          <a:prstGeom prst="rect">
            <a:avLst/>
          </a:prstGeom>
          <a:solidFill>
            <a:srgbClr val="00FFFF">
              <a:alpha val="12157"/>
            </a:srgbClr>
          </a:solidFill>
          <a:ln w="28575">
            <a:solidFill>
              <a:srgbClr val="00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9" name="Rectangle 148"/>
          <xdr:cNvSpPr/>
        </xdr:nvSpPr>
        <xdr:spPr>
          <a:xfrm>
            <a:off x="35845297" y="13649325"/>
            <a:ext cx="274320" cy="1104900"/>
          </a:xfrm>
          <a:prstGeom prst="rect">
            <a:avLst/>
          </a:prstGeom>
          <a:solidFill>
            <a:srgbClr val="FF66FF">
              <a:alpha val="12157"/>
            </a:srgbClr>
          </a:solidFill>
          <a:ln w="28575">
            <a:solidFill>
              <a:srgbClr val="FF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0" name="Rectangle 149"/>
          <xdr:cNvSpPr/>
        </xdr:nvSpPr>
        <xdr:spPr>
          <a:xfrm>
            <a:off x="36146015" y="13649325"/>
            <a:ext cx="274320" cy="1104900"/>
          </a:xfrm>
          <a:prstGeom prst="rect">
            <a:avLst/>
          </a:prstGeom>
          <a:solidFill>
            <a:srgbClr val="800000">
              <a:alpha val="12157"/>
            </a:srgbClr>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1" name="Rectangle 150"/>
          <xdr:cNvSpPr/>
        </xdr:nvSpPr>
        <xdr:spPr>
          <a:xfrm>
            <a:off x="36446733" y="13649325"/>
            <a:ext cx="274320" cy="1104900"/>
          </a:xfrm>
          <a:prstGeom prst="rect">
            <a:avLst/>
          </a:prstGeom>
          <a:solidFill>
            <a:srgbClr val="808000">
              <a:alpha val="12157"/>
            </a:srgbClr>
          </a:solidFill>
          <a:ln w="28575">
            <a:solidFill>
              <a:srgbClr val="808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2" name="Rectangle 151"/>
          <xdr:cNvSpPr/>
        </xdr:nvSpPr>
        <xdr:spPr>
          <a:xfrm>
            <a:off x="36747451" y="13649325"/>
            <a:ext cx="274320" cy="1104900"/>
          </a:xfrm>
          <a:prstGeom prst="rect">
            <a:avLst/>
          </a:prstGeom>
          <a:solidFill>
            <a:srgbClr val="009900">
              <a:alpha val="12157"/>
            </a:srgbClr>
          </a:solidFill>
          <a:ln w="28575">
            <a:solidFill>
              <a:srgbClr val="009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3" name="Rectangle 152"/>
          <xdr:cNvSpPr/>
        </xdr:nvSpPr>
        <xdr:spPr>
          <a:xfrm>
            <a:off x="37048169" y="13649325"/>
            <a:ext cx="274320" cy="1104900"/>
          </a:xfrm>
          <a:prstGeom prst="rect">
            <a:avLst/>
          </a:prstGeom>
          <a:solidFill>
            <a:srgbClr val="800080">
              <a:alpha val="12157"/>
            </a:srgbClr>
          </a:solidFill>
          <a:ln w="28575">
            <a:solidFill>
              <a:srgbClr val="80008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4" name="Rectangle 153"/>
          <xdr:cNvSpPr/>
        </xdr:nvSpPr>
        <xdr:spPr>
          <a:xfrm>
            <a:off x="37348887" y="13649325"/>
            <a:ext cx="274320" cy="1104900"/>
          </a:xfrm>
          <a:prstGeom prst="rect">
            <a:avLst/>
          </a:prstGeom>
          <a:solidFill>
            <a:srgbClr val="009999">
              <a:alpha val="12157"/>
            </a:srgbClr>
          </a:solidFill>
          <a:ln w="28575">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5" name="Rectangle 154"/>
          <xdr:cNvSpPr/>
        </xdr:nvSpPr>
        <xdr:spPr>
          <a:xfrm>
            <a:off x="37649605" y="13649325"/>
            <a:ext cx="274320" cy="1104900"/>
          </a:xfrm>
          <a:prstGeom prst="rect">
            <a:avLst/>
          </a:prstGeom>
          <a:solidFill>
            <a:srgbClr val="000066">
              <a:alpha val="12157"/>
            </a:srgbClr>
          </a:solidFill>
          <a:ln w="28575">
            <a:solidFill>
              <a:srgbClr val="00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6" name="Rectangle 155"/>
          <xdr:cNvSpPr/>
        </xdr:nvSpPr>
        <xdr:spPr>
          <a:xfrm>
            <a:off x="37950323" y="13649325"/>
            <a:ext cx="274320" cy="1104900"/>
          </a:xfrm>
          <a:prstGeom prst="rect">
            <a:avLst/>
          </a:prstGeom>
          <a:solidFill>
            <a:srgbClr val="FF3399">
              <a:alpha val="12157"/>
            </a:srgbClr>
          </a:solidFill>
          <a:ln w="28575">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7" name="Rectangle 156"/>
          <xdr:cNvSpPr/>
        </xdr:nvSpPr>
        <xdr:spPr>
          <a:xfrm>
            <a:off x="38251041" y="13649325"/>
            <a:ext cx="274320" cy="1104900"/>
          </a:xfrm>
          <a:prstGeom prst="rect">
            <a:avLst/>
          </a:prstGeom>
          <a:solidFill>
            <a:srgbClr val="99FF99">
              <a:alpha val="12157"/>
            </a:srgbClr>
          </a:solidFill>
          <a:ln w="28575">
            <a:solidFill>
              <a:srgbClr val="99FF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8" name="Rectangle 157"/>
          <xdr:cNvSpPr/>
        </xdr:nvSpPr>
        <xdr:spPr>
          <a:xfrm>
            <a:off x="38551759" y="13649325"/>
            <a:ext cx="274320" cy="1104900"/>
          </a:xfrm>
          <a:prstGeom prst="rect">
            <a:avLst/>
          </a:prstGeom>
          <a:solidFill>
            <a:srgbClr val="800000">
              <a:alpha val="12157"/>
            </a:srgbClr>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9" name="Rectangle 158"/>
          <xdr:cNvSpPr/>
        </xdr:nvSpPr>
        <xdr:spPr>
          <a:xfrm>
            <a:off x="38852475" y="13649325"/>
            <a:ext cx="274320" cy="1104900"/>
          </a:xfrm>
          <a:prstGeom prst="rect">
            <a:avLst/>
          </a:prstGeom>
          <a:solidFill>
            <a:schemeClr val="bg1">
              <a:lumMod val="85000"/>
              <a:alpha val="12157"/>
            </a:schemeClr>
          </a:solidFill>
          <a:ln w="285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66675</xdr:colOff>
      <xdr:row>0</xdr:row>
      <xdr:rowOff>28575</xdr:rowOff>
    </xdr:from>
    <xdr:to>
      <xdr:col>22</xdr:col>
      <xdr:colOff>228600</xdr:colOff>
      <xdr:row>0</xdr:row>
      <xdr:rowOff>704850</xdr:rowOff>
    </xdr:to>
    <xdr:grpSp>
      <xdr:nvGrpSpPr>
        <xdr:cNvPr id="161" name="Group 9"/>
        <xdr:cNvGrpSpPr>
          <a:grpSpLocks/>
        </xdr:cNvGrpSpPr>
      </xdr:nvGrpSpPr>
      <xdr:grpSpPr bwMode="auto">
        <a:xfrm>
          <a:off x="66675" y="28575"/>
          <a:ext cx="24812625" cy="676275"/>
          <a:chOff x="66675" y="28575"/>
          <a:chExt cx="9886950" cy="676153"/>
        </a:xfrm>
      </xdr:grpSpPr>
      <xdr:pic>
        <xdr:nvPicPr>
          <xdr:cNvPr id="162"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675" y="28575"/>
            <a:ext cx="812210" cy="676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163" name="Straight Connector 162"/>
          <xdr:cNvCxnSpPr/>
        </xdr:nvCxnSpPr>
        <xdr:spPr>
          <a:xfrm>
            <a:off x="738456" y="619018"/>
            <a:ext cx="9215169" cy="0"/>
          </a:xfrm>
          <a:prstGeom prst="line">
            <a:avLst/>
          </a:prstGeom>
          <a:ln w="15875">
            <a:solidFill>
              <a:srgbClr val="C799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28575</xdr:rowOff>
    </xdr:from>
    <xdr:to>
      <xdr:col>22</xdr:col>
      <xdr:colOff>228600</xdr:colOff>
      <xdr:row>0</xdr:row>
      <xdr:rowOff>704850</xdr:rowOff>
    </xdr:to>
    <xdr:grpSp>
      <xdr:nvGrpSpPr>
        <xdr:cNvPr id="2" name="Group 9"/>
        <xdr:cNvGrpSpPr>
          <a:grpSpLocks/>
        </xdr:cNvGrpSpPr>
      </xdr:nvGrpSpPr>
      <xdr:grpSpPr bwMode="auto">
        <a:xfrm>
          <a:off x="66675" y="28575"/>
          <a:ext cx="9725025" cy="676275"/>
          <a:chOff x="66675" y="28575"/>
          <a:chExt cx="9886950" cy="676153"/>
        </a:xfrm>
      </xdr:grpSpPr>
      <xdr:pic>
        <xdr:nvPicPr>
          <xdr:cNvPr id="3"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28575"/>
            <a:ext cx="1666593" cy="676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4" name="Straight Connector 3"/>
          <xdr:cNvCxnSpPr/>
        </xdr:nvCxnSpPr>
        <xdr:spPr>
          <a:xfrm>
            <a:off x="1373960" y="619018"/>
            <a:ext cx="8579665" cy="0"/>
          </a:xfrm>
          <a:prstGeom prst="line">
            <a:avLst/>
          </a:prstGeom>
          <a:ln w="15875">
            <a:solidFill>
              <a:srgbClr val="C799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104775</xdr:colOff>
      <xdr:row>55</xdr:row>
      <xdr:rowOff>28575</xdr:rowOff>
    </xdr:from>
    <xdr:to>
      <xdr:col>20</xdr:col>
      <xdr:colOff>295275</xdr:colOff>
      <xdr:row>62</xdr:row>
      <xdr:rowOff>19050</xdr:rowOff>
    </xdr:to>
    <xdr:pic>
      <xdr:nvPicPr>
        <xdr:cNvPr id="2" name="Picture 3" descr="mfcd000837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34375" y="10572750"/>
          <a:ext cx="1790700" cy="1181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123825</xdr:colOff>
      <xdr:row>43</xdr:row>
      <xdr:rowOff>19050</xdr:rowOff>
    </xdr:from>
    <xdr:to>
      <xdr:col>20</xdr:col>
      <xdr:colOff>161925</xdr:colOff>
      <xdr:row>51</xdr:row>
      <xdr:rowOff>0</xdr:rowOff>
    </xdr:to>
    <xdr:pic>
      <xdr:nvPicPr>
        <xdr:cNvPr id="3" name="Picture 4" descr="mfcd0000575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53425" y="8486775"/>
          <a:ext cx="1638300" cy="13049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84</xdr:row>
      <xdr:rowOff>19050</xdr:rowOff>
    </xdr:from>
    <xdr:to>
      <xdr:col>19</xdr:col>
      <xdr:colOff>190500</xdr:colOff>
      <xdr:row>86</xdr:row>
      <xdr:rowOff>95250</xdr:rowOff>
    </xdr:to>
    <xdr:pic>
      <xdr:nvPicPr>
        <xdr:cNvPr id="4" name="Picture 5" descr="mfcd0003617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86750" y="15621000"/>
          <a:ext cx="1200150" cy="4000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85725</xdr:colOff>
      <xdr:row>92</xdr:row>
      <xdr:rowOff>66675</xdr:rowOff>
    </xdr:from>
    <xdr:to>
      <xdr:col>20</xdr:col>
      <xdr:colOff>390525</xdr:colOff>
      <xdr:row>96</xdr:row>
      <xdr:rowOff>133350</xdr:rowOff>
    </xdr:to>
    <xdr:pic>
      <xdr:nvPicPr>
        <xdr:cNvPr id="5" name="Picture 6" descr="mfcd0015081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315325" y="17078325"/>
          <a:ext cx="1905000" cy="7239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66675</xdr:colOff>
      <xdr:row>0</xdr:row>
      <xdr:rowOff>28575</xdr:rowOff>
    </xdr:from>
    <xdr:to>
      <xdr:col>20</xdr:col>
      <xdr:colOff>514350</xdr:colOff>
      <xdr:row>0</xdr:row>
      <xdr:rowOff>704850</xdr:rowOff>
    </xdr:to>
    <xdr:grpSp>
      <xdr:nvGrpSpPr>
        <xdr:cNvPr id="6" name="Group 5"/>
        <xdr:cNvGrpSpPr>
          <a:grpSpLocks/>
        </xdr:cNvGrpSpPr>
      </xdr:nvGrpSpPr>
      <xdr:grpSpPr bwMode="auto">
        <a:xfrm>
          <a:off x="66675" y="28575"/>
          <a:ext cx="10506075" cy="676275"/>
          <a:chOff x="66675" y="28575"/>
          <a:chExt cx="11424923" cy="676153"/>
        </a:xfrm>
      </xdr:grpSpPr>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6675" y="28575"/>
            <a:ext cx="1876425" cy="676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8" name="Straight Connector 7"/>
          <xdr:cNvCxnSpPr/>
        </xdr:nvCxnSpPr>
        <xdr:spPr>
          <a:xfrm flipV="1">
            <a:off x="1644352" y="619018"/>
            <a:ext cx="9847246" cy="0"/>
          </a:xfrm>
          <a:prstGeom prst="line">
            <a:avLst/>
          </a:prstGeom>
          <a:ln w="15875">
            <a:solidFill>
              <a:srgbClr val="C799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0</xdr:row>
      <xdr:rowOff>28575</xdr:rowOff>
    </xdr:from>
    <xdr:to>
      <xdr:col>18</xdr:col>
      <xdr:colOff>228600</xdr:colOff>
      <xdr:row>0</xdr:row>
      <xdr:rowOff>704850</xdr:rowOff>
    </xdr:to>
    <xdr:grpSp>
      <xdr:nvGrpSpPr>
        <xdr:cNvPr id="2" name="Group 4"/>
        <xdr:cNvGrpSpPr>
          <a:grpSpLocks/>
        </xdr:cNvGrpSpPr>
      </xdr:nvGrpSpPr>
      <xdr:grpSpPr bwMode="auto">
        <a:xfrm>
          <a:off x="66675" y="28575"/>
          <a:ext cx="9039225" cy="676275"/>
          <a:chOff x="66675" y="28575"/>
          <a:chExt cx="9886950" cy="676153"/>
        </a:xfrm>
      </xdr:grpSpPr>
      <xdr:pic>
        <xdr:nvPicPr>
          <xdr:cNvPr id="3"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28575"/>
            <a:ext cx="1876425" cy="676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4" name="Straight Connector 3"/>
          <xdr:cNvCxnSpPr/>
        </xdr:nvCxnSpPr>
        <xdr:spPr>
          <a:xfrm flipV="1">
            <a:off x="1650254" y="619018"/>
            <a:ext cx="8303371" cy="0"/>
          </a:xfrm>
          <a:prstGeom prst="line">
            <a:avLst/>
          </a:prstGeom>
          <a:ln w="15875">
            <a:solidFill>
              <a:srgbClr val="C799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28575</xdr:rowOff>
    </xdr:from>
    <xdr:to>
      <xdr:col>19</xdr:col>
      <xdr:colOff>514350</xdr:colOff>
      <xdr:row>0</xdr:row>
      <xdr:rowOff>704850</xdr:rowOff>
    </xdr:to>
    <xdr:grpSp>
      <xdr:nvGrpSpPr>
        <xdr:cNvPr id="2" name="Group 4"/>
        <xdr:cNvGrpSpPr>
          <a:grpSpLocks/>
        </xdr:cNvGrpSpPr>
      </xdr:nvGrpSpPr>
      <xdr:grpSpPr bwMode="auto">
        <a:xfrm>
          <a:off x="66675" y="28575"/>
          <a:ext cx="12582525" cy="676275"/>
          <a:chOff x="66675" y="28575"/>
          <a:chExt cx="10636618" cy="676153"/>
        </a:xfrm>
      </xdr:grpSpPr>
      <xdr:pic>
        <xdr:nvPicPr>
          <xdr:cNvPr id="3"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8575"/>
            <a:ext cx="1876425" cy="676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4" name="Straight Connector 3"/>
          <xdr:cNvCxnSpPr/>
        </xdr:nvCxnSpPr>
        <xdr:spPr>
          <a:xfrm flipV="1">
            <a:off x="1647453" y="619018"/>
            <a:ext cx="9055840" cy="0"/>
          </a:xfrm>
          <a:prstGeom prst="line">
            <a:avLst/>
          </a:prstGeom>
          <a:ln w="15875">
            <a:solidFill>
              <a:srgbClr val="C799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tocols05/CalibrationSolutionsForThermoMassSpe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QVelosCalmix"/>
      <sheetName val="FlexMix"/>
      <sheetName val="TSQ calmix"/>
      <sheetName val="TSQ EMR calmix"/>
      <sheetName val="Calibration solutions"/>
      <sheetName val="Materials and stock solutions"/>
      <sheetName val="Reserpine"/>
      <sheetName val="Buspirone"/>
    </sheetNames>
    <sheetDataSet>
      <sheetData sheetId="0"/>
      <sheetData sheetId="1"/>
      <sheetData sheetId="2"/>
      <sheetData sheetId="3"/>
      <sheetData sheetId="4"/>
      <sheetData sheetId="5">
        <row r="128">
          <cell r="A128" t="str">
            <v>Angiotensin l stock solution (1 nmol/µl)</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thermofisher.com/us/en/home/life-science/protein-biology/protein-mass-spectrometry-analysis/calibration-solutions-standards-solvents-mass-spectrometry/mass-spectrometry-calibration-solutions.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fisherlcms.com/" TargetMode="External"/><Relationship Id="rId13" Type="http://schemas.openxmlformats.org/officeDocument/2006/relationships/hyperlink" Target="http://www.sigmaaldrich.com/" TargetMode="External"/><Relationship Id="rId18" Type="http://schemas.openxmlformats.org/officeDocument/2006/relationships/hyperlink" Target="http://www.sigmaaldrich.com/" TargetMode="External"/><Relationship Id="rId26" Type="http://schemas.openxmlformats.org/officeDocument/2006/relationships/comments" Target="../comments2.xml"/><Relationship Id="rId3" Type="http://schemas.openxmlformats.org/officeDocument/2006/relationships/hyperlink" Target="http://www.sigmaaldrich.com/" TargetMode="External"/><Relationship Id="rId21" Type="http://schemas.openxmlformats.org/officeDocument/2006/relationships/hyperlink" Target="http://www.sigmaaldrich.com/" TargetMode="External"/><Relationship Id="rId7" Type="http://schemas.openxmlformats.org/officeDocument/2006/relationships/hyperlink" Target="http://www.fisherlcms.com/" TargetMode="External"/><Relationship Id="rId12" Type="http://schemas.openxmlformats.org/officeDocument/2006/relationships/hyperlink" Target="http://www.fisherlcms.com/" TargetMode="External"/><Relationship Id="rId17" Type="http://schemas.openxmlformats.org/officeDocument/2006/relationships/hyperlink" Target="http://www.sigmaaldrich.com/" TargetMode="External"/><Relationship Id="rId25" Type="http://schemas.openxmlformats.org/officeDocument/2006/relationships/vmlDrawing" Target="../drawings/vmlDrawing2.vml"/><Relationship Id="rId2" Type="http://schemas.openxmlformats.org/officeDocument/2006/relationships/hyperlink" Target="http://www.sigmaaldrich.com/" TargetMode="External"/><Relationship Id="rId16" Type="http://schemas.openxmlformats.org/officeDocument/2006/relationships/hyperlink" Target="http://www.sigmaaldrich.com/" TargetMode="External"/><Relationship Id="rId20" Type="http://schemas.openxmlformats.org/officeDocument/2006/relationships/hyperlink" Target="http://www.sigmaaldrich.com/" TargetMode="External"/><Relationship Id="rId1" Type="http://schemas.openxmlformats.org/officeDocument/2006/relationships/hyperlink" Target="http://www.lancastersynthesis.com/" TargetMode="External"/><Relationship Id="rId6" Type="http://schemas.openxmlformats.org/officeDocument/2006/relationships/hyperlink" Target="http://www.researchplus.com/" TargetMode="External"/><Relationship Id="rId11" Type="http://schemas.openxmlformats.org/officeDocument/2006/relationships/hyperlink" Target="http://www.fisherlcms.com/" TargetMode="External"/><Relationship Id="rId24" Type="http://schemas.openxmlformats.org/officeDocument/2006/relationships/drawing" Target="../drawings/drawing3.xml"/><Relationship Id="rId5" Type="http://schemas.openxmlformats.org/officeDocument/2006/relationships/hyperlink" Target="http://www.sigmaaldrich.com/" TargetMode="External"/><Relationship Id="rId15" Type="http://schemas.openxmlformats.org/officeDocument/2006/relationships/hyperlink" Target="http://www.sigmaaldrich.com/" TargetMode="External"/><Relationship Id="rId23" Type="http://schemas.openxmlformats.org/officeDocument/2006/relationships/printerSettings" Target="../printerSettings/printerSettings3.bin"/><Relationship Id="rId10" Type="http://schemas.openxmlformats.org/officeDocument/2006/relationships/hyperlink" Target="http://www.fisherlcms.com/" TargetMode="External"/><Relationship Id="rId19" Type="http://schemas.openxmlformats.org/officeDocument/2006/relationships/hyperlink" Target="http://www.sigmaaldrich.com/" TargetMode="External"/><Relationship Id="rId4" Type="http://schemas.openxmlformats.org/officeDocument/2006/relationships/hyperlink" Target="http://www.sigmaaldrich.com/" TargetMode="External"/><Relationship Id="rId9" Type="http://schemas.openxmlformats.org/officeDocument/2006/relationships/hyperlink" Target="http://www.fisherlcms.com/" TargetMode="External"/><Relationship Id="rId14" Type="http://schemas.openxmlformats.org/officeDocument/2006/relationships/hyperlink" Target="http://www.sigmaaldrich.com/" TargetMode="External"/><Relationship Id="rId22" Type="http://schemas.openxmlformats.org/officeDocument/2006/relationships/hyperlink" Target="http://www.genwaybio.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fisherlcms.com/" TargetMode="External"/><Relationship Id="rId7" Type="http://schemas.openxmlformats.org/officeDocument/2006/relationships/drawing" Target="../drawings/drawing4.xml"/><Relationship Id="rId2" Type="http://schemas.openxmlformats.org/officeDocument/2006/relationships/hyperlink" Target="http://www.fisherlcms.com/" TargetMode="External"/><Relationship Id="rId1" Type="http://schemas.openxmlformats.org/officeDocument/2006/relationships/hyperlink" Target="http://www.sigmaaldrich.com/" TargetMode="External"/><Relationship Id="rId6" Type="http://schemas.openxmlformats.org/officeDocument/2006/relationships/printerSettings" Target="../printerSettings/printerSettings4.bin"/><Relationship Id="rId5" Type="http://schemas.openxmlformats.org/officeDocument/2006/relationships/hyperlink" Target="http://www.fisherlcms.com/" TargetMode="External"/><Relationship Id="rId4" Type="http://schemas.openxmlformats.org/officeDocument/2006/relationships/hyperlink" Target="http://www.fisherlcms.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fisherlcms.com/" TargetMode="External"/><Relationship Id="rId7" Type="http://schemas.openxmlformats.org/officeDocument/2006/relationships/drawing" Target="../drawings/drawing5.xml"/><Relationship Id="rId2" Type="http://schemas.openxmlformats.org/officeDocument/2006/relationships/hyperlink" Target="http://www.fisherlcms.com/" TargetMode="External"/><Relationship Id="rId1" Type="http://schemas.openxmlformats.org/officeDocument/2006/relationships/hyperlink" Target="http://www.sigmaaldrich.com/" TargetMode="External"/><Relationship Id="rId6" Type="http://schemas.openxmlformats.org/officeDocument/2006/relationships/printerSettings" Target="../printerSettings/printerSettings5.bin"/><Relationship Id="rId5" Type="http://schemas.openxmlformats.org/officeDocument/2006/relationships/hyperlink" Target="http://www.fisherlcms.com/" TargetMode="External"/><Relationship Id="rId4" Type="http://schemas.openxmlformats.org/officeDocument/2006/relationships/hyperlink" Target="http://www.fisherlcm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K90"/>
  <sheetViews>
    <sheetView tabSelected="1" workbookViewId="0">
      <selection activeCell="F22" sqref="F22"/>
    </sheetView>
  </sheetViews>
  <sheetFormatPr defaultRowHeight="15" x14ac:dyDescent="0.25"/>
  <cols>
    <col min="1" max="1" width="9.140625" style="1"/>
    <col min="2" max="2" width="47.140625" style="1" customWidth="1"/>
    <col min="3" max="5" width="9.140625" style="1"/>
    <col min="6" max="6" width="42" style="1" customWidth="1"/>
    <col min="7" max="10" width="9.140625" style="1"/>
    <col min="11" max="11" width="47.140625" style="1" customWidth="1"/>
    <col min="12" max="15" width="9.140625" style="1"/>
    <col min="16" max="16" width="40.5703125" style="1" customWidth="1"/>
    <col min="17" max="17" width="30.5703125" style="1" customWidth="1"/>
    <col min="18" max="18" width="9.140625" style="1"/>
    <col min="19" max="19" width="16" style="1" customWidth="1"/>
    <col min="20" max="16384" width="9.140625" style="1"/>
  </cols>
  <sheetData>
    <row r="1" spans="2:16" s="36" customFormat="1" ht="58.5" customHeight="1" x14ac:dyDescent="0.25">
      <c r="F1" s="37" t="s">
        <v>99</v>
      </c>
      <c r="K1" s="38" t="s">
        <v>100</v>
      </c>
    </row>
    <row r="3" spans="2:16" ht="26.25" x14ac:dyDescent="0.4">
      <c r="B3" s="39" t="s">
        <v>101</v>
      </c>
    </row>
    <row r="4" spans="2:16" x14ac:dyDescent="0.25">
      <c r="B4" s="35" t="s">
        <v>98</v>
      </c>
    </row>
    <row r="6" spans="2:16" ht="15.75" x14ac:dyDescent="0.25">
      <c r="B6" s="34" t="s">
        <v>97</v>
      </c>
    </row>
    <row r="7" spans="2:16" ht="15.75" x14ac:dyDescent="0.25">
      <c r="B7" s="34" t="s">
        <v>95</v>
      </c>
      <c r="P7" s="23"/>
    </row>
    <row r="8" spans="2:16" ht="15.75" x14ac:dyDescent="0.25">
      <c r="B8" s="34" t="s">
        <v>96</v>
      </c>
      <c r="P8" s="24"/>
    </row>
    <row r="9" spans="2:16" x14ac:dyDescent="0.25">
      <c r="P9" s="24"/>
    </row>
    <row r="10" spans="2:16" ht="30" x14ac:dyDescent="0.25">
      <c r="B10" s="2" t="s">
        <v>0</v>
      </c>
      <c r="C10" s="17" t="s">
        <v>67</v>
      </c>
      <c r="F10" s="4" t="s">
        <v>1</v>
      </c>
      <c r="K10" s="3" t="s">
        <v>74</v>
      </c>
      <c r="P10" s="24"/>
    </row>
    <row r="11" spans="2:16" x14ac:dyDescent="0.25">
      <c r="F11" s="5" t="s">
        <v>2</v>
      </c>
      <c r="K11" s="8" t="s">
        <v>16</v>
      </c>
      <c r="P11" s="24"/>
    </row>
    <row r="12" spans="2:16" x14ac:dyDescent="0.25">
      <c r="F12" s="5" t="s">
        <v>3</v>
      </c>
      <c r="K12" s="3" t="s">
        <v>78</v>
      </c>
      <c r="P12" s="24"/>
    </row>
    <row r="13" spans="2:16" x14ac:dyDescent="0.25">
      <c r="F13" s="5" t="s">
        <v>4</v>
      </c>
      <c r="K13" s="3"/>
      <c r="P13" s="25" t="s">
        <v>74</v>
      </c>
    </row>
    <row r="14" spans="2:16" x14ac:dyDescent="0.25">
      <c r="F14" s="5" t="s">
        <v>5</v>
      </c>
      <c r="K14" s="8" t="s">
        <v>17</v>
      </c>
      <c r="P14" s="25" t="s">
        <v>27</v>
      </c>
    </row>
    <row r="15" spans="2:16" x14ac:dyDescent="0.25">
      <c r="K15" s="3" t="s">
        <v>18</v>
      </c>
      <c r="P15" s="26" t="s">
        <v>89</v>
      </c>
    </row>
    <row r="16" spans="2:16" x14ac:dyDescent="0.25">
      <c r="B16" s="3" t="s">
        <v>74</v>
      </c>
      <c r="K16" s="7" t="s">
        <v>19</v>
      </c>
      <c r="P16" s="25" t="s">
        <v>90</v>
      </c>
    </row>
    <row r="17" spans="2:16" x14ac:dyDescent="0.25">
      <c r="B17" s="7" t="s">
        <v>7</v>
      </c>
      <c r="K17" s="3"/>
      <c r="P17" s="25" t="s">
        <v>92</v>
      </c>
    </row>
    <row r="18" spans="2:16" x14ac:dyDescent="0.25">
      <c r="B18" s="8" t="s">
        <v>32</v>
      </c>
      <c r="K18" s="3"/>
      <c r="P18" s="25" t="s">
        <v>93</v>
      </c>
    </row>
    <row r="19" spans="2:16" x14ac:dyDescent="0.25">
      <c r="B19" s="3" t="s">
        <v>6</v>
      </c>
      <c r="K19" s="8" t="s">
        <v>20</v>
      </c>
      <c r="P19" s="26" t="s">
        <v>69</v>
      </c>
    </row>
    <row r="20" spans="2:16" x14ac:dyDescent="0.25">
      <c r="B20" s="3"/>
      <c r="K20" s="3" t="s">
        <v>21</v>
      </c>
      <c r="P20" s="32" t="s">
        <v>70</v>
      </c>
    </row>
    <row r="21" spans="2:16" ht="46.5" customHeight="1" x14ac:dyDescent="0.25">
      <c r="B21" s="29" t="s">
        <v>73</v>
      </c>
      <c r="K21" s="11" t="s">
        <v>22</v>
      </c>
      <c r="P21" s="33" t="s">
        <v>91</v>
      </c>
    </row>
    <row r="22" spans="2:16" x14ac:dyDescent="0.25">
      <c r="B22" s="8" t="s">
        <v>69</v>
      </c>
      <c r="K22" s="10" t="s">
        <v>23</v>
      </c>
      <c r="P22" s="28" t="s">
        <v>5</v>
      </c>
    </row>
    <row r="23" spans="2:16" x14ac:dyDescent="0.25">
      <c r="B23" s="7" t="s">
        <v>70</v>
      </c>
      <c r="K23" s="9" t="s">
        <v>24</v>
      </c>
    </row>
    <row r="26" spans="2:16" ht="30" x14ac:dyDescent="0.25">
      <c r="K26" s="2" t="s">
        <v>25</v>
      </c>
      <c r="L26" s="1" t="s">
        <v>40</v>
      </c>
      <c r="P26" s="14" t="s">
        <v>26</v>
      </c>
    </row>
    <row r="27" spans="2:16" x14ac:dyDescent="0.25">
      <c r="B27" s="3" t="s">
        <v>74</v>
      </c>
      <c r="F27" s="1" t="s">
        <v>76</v>
      </c>
      <c r="K27" s="13" t="s">
        <v>12</v>
      </c>
      <c r="P27" s="5" t="s">
        <v>27</v>
      </c>
    </row>
    <row r="28" spans="2:16" x14ac:dyDescent="0.25">
      <c r="B28" s="7" t="s">
        <v>7</v>
      </c>
      <c r="K28" s="20" t="s">
        <v>68</v>
      </c>
      <c r="P28" s="5" t="s">
        <v>2</v>
      </c>
    </row>
    <row r="29" spans="2:16" x14ac:dyDescent="0.25">
      <c r="B29" s="8" t="s">
        <v>31</v>
      </c>
      <c r="P29" s="5" t="s">
        <v>3</v>
      </c>
    </row>
    <row r="30" spans="2:16" x14ac:dyDescent="0.25">
      <c r="B30" s="3" t="s">
        <v>8</v>
      </c>
      <c r="P30" s="5" t="s">
        <v>4</v>
      </c>
    </row>
    <row r="31" spans="2:16" x14ac:dyDescent="0.25">
      <c r="B31" s="8" t="s">
        <v>33</v>
      </c>
      <c r="P31" s="5" t="s">
        <v>5</v>
      </c>
    </row>
    <row r="32" spans="2:16" x14ac:dyDescent="0.25">
      <c r="B32" s="3" t="s">
        <v>9</v>
      </c>
    </row>
    <row r="33" spans="2:16" x14ac:dyDescent="0.25">
      <c r="B33" s="8" t="s">
        <v>69</v>
      </c>
    </row>
    <row r="34" spans="2:16" x14ac:dyDescent="0.25">
      <c r="B34" s="7" t="s">
        <v>70</v>
      </c>
      <c r="K34" s="13" t="s">
        <v>28</v>
      </c>
      <c r="P34" s="3" t="s">
        <v>74</v>
      </c>
    </row>
    <row r="35" spans="2:16" x14ac:dyDescent="0.25">
      <c r="K35" s="13" t="s">
        <v>29</v>
      </c>
      <c r="L35" s="1" t="s">
        <v>40</v>
      </c>
      <c r="P35" s="3" t="s">
        <v>27</v>
      </c>
    </row>
    <row r="36" spans="2:16" x14ac:dyDescent="0.25">
      <c r="K36" s="13" t="s">
        <v>12</v>
      </c>
      <c r="P36" s="8" t="s">
        <v>30</v>
      </c>
    </row>
    <row r="37" spans="2:16" ht="30" x14ac:dyDescent="0.25">
      <c r="B37" s="30" t="s">
        <v>74</v>
      </c>
      <c r="F37" s="4" t="s">
        <v>1</v>
      </c>
      <c r="K37" s="21" t="s">
        <v>68</v>
      </c>
      <c r="P37" s="9" t="s">
        <v>35</v>
      </c>
    </row>
    <row r="38" spans="2:16" x14ac:dyDescent="0.25">
      <c r="B38" s="7" t="s">
        <v>7</v>
      </c>
      <c r="F38" s="5" t="s">
        <v>2</v>
      </c>
      <c r="P38" s="22" t="s">
        <v>36</v>
      </c>
    </row>
    <row r="39" spans="2:16" x14ac:dyDescent="0.25">
      <c r="B39" s="8" t="s">
        <v>75</v>
      </c>
      <c r="F39" s="5" t="s">
        <v>3</v>
      </c>
    </row>
    <row r="40" spans="2:16" x14ac:dyDescent="0.25">
      <c r="B40" s="3" t="s">
        <v>10</v>
      </c>
      <c r="F40" s="5" t="s">
        <v>72</v>
      </c>
    </row>
    <row r="41" spans="2:16" x14ac:dyDescent="0.25">
      <c r="B41" s="3" t="s">
        <v>11</v>
      </c>
      <c r="F41" s="5" t="s">
        <v>5</v>
      </c>
      <c r="K41" s="13" t="s">
        <v>37</v>
      </c>
      <c r="L41" s="1" t="s">
        <v>40</v>
      </c>
      <c r="P41" s="14" t="s">
        <v>39</v>
      </c>
    </row>
    <row r="42" spans="2:16" x14ac:dyDescent="0.25">
      <c r="B42" s="3" t="s">
        <v>12</v>
      </c>
      <c r="K42" s="21" t="s">
        <v>68</v>
      </c>
      <c r="P42" s="5" t="s">
        <v>27</v>
      </c>
    </row>
    <row r="43" spans="2:16" x14ac:dyDescent="0.25">
      <c r="P43" s="5" t="s">
        <v>38</v>
      </c>
    </row>
    <row r="45" spans="2:16" x14ac:dyDescent="0.25">
      <c r="F45" s="3" t="s">
        <v>74</v>
      </c>
    </row>
    <row r="46" spans="2:16" x14ac:dyDescent="0.25">
      <c r="F46" s="8" t="s">
        <v>34</v>
      </c>
    </row>
    <row r="47" spans="2:16" ht="30" x14ac:dyDescent="0.25">
      <c r="F47" s="31" t="s">
        <v>77</v>
      </c>
      <c r="K47" s="15" t="s">
        <v>41</v>
      </c>
      <c r="L47" s="17" t="s">
        <v>40</v>
      </c>
      <c r="P47" s="16" t="s">
        <v>39</v>
      </c>
    </row>
    <row r="48" spans="2:16" x14ac:dyDescent="0.25">
      <c r="B48" s="23"/>
      <c r="F48" s="3" t="s">
        <v>13</v>
      </c>
      <c r="K48" s="21" t="s">
        <v>68</v>
      </c>
      <c r="P48" s="5" t="s">
        <v>27</v>
      </c>
    </row>
    <row r="49" spans="2:37" x14ac:dyDescent="0.25">
      <c r="B49" s="24"/>
      <c r="F49" s="3" t="s">
        <v>14</v>
      </c>
      <c r="P49" s="5" t="s">
        <v>42</v>
      </c>
    </row>
    <row r="50" spans="2:37" x14ac:dyDescent="0.25">
      <c r="B50" s="24"/>
    </row>
    <row r="51" spans="2:37" x14ac:dyDescent="0.25">
      <c r="B51" s="24"/>
    </row>
    <row r="52" spans="2:37" ht="30" x14ac:dyDescent="0.25">
      <c r="B52" s="24"/>
      <c r="F52" s="4" t="s">
        <v>15</v>
      </c>
    </row>
    <row r="53" spans="2:37" x14ac:dyDescent="0.25">
      <c r="B53" s="24"/>
      <c r="F53" s="5" t="s">
        <v>2</v>
      </c>
      <c r="K53" s="13" t="s">
        <v>43</v>
      </c>
      <c r="L53" s="1" t="s">
        <v>40</v>
      </c>
      <c r="P53" s="16" t="s">
        <v>44</v>
      </c>
    </row>
    <row r="54" spans="2:37" x14ac:dyDescent="0.25">
      <c r="B54" s="24"/>
      <c r="K54" s="21" t="s">
        <v>68</v>
      </c>
      <c r="P54" s="5" t="s">
        <v>47</v>
      </c>
    </row>
    <row r="55" spans="2:37" x14ac:dyDescent="0.25">
      <c r="B55" s="24"/>
      <c r="P55" s="5" t="s">
        <v>46</v>
      </c>
    </row>
    <row r="56" spans="2:37" x14ac:dyDescent="0.25">
      <c r="B56" s="24"/>
    </row>
    <row r="57" spans="2:37" x14ac:dyDescent="0.25">
      <c r="B57" s="24"/>
    </row>
    <row r="58" spans="2:37" x14ac:dyDescent="0.25">
      <c r="B58" s="25" t="s">
        <v>74</v>
      </c>
    </row>
    <row r="59" spans="2:37" x14ac:dyDescent="0.25">
      <c r="B59" s="25" t="s">
        <v>27</v>
      </c>
      <c r="K59" s="13" t="s">
        <v>45</v>
      </c>
      <c r="L59" s="1" t="s">
        <v>40</v>
      </c>
      <c r="P59" s="16" t="s">
        <v>48</v>
      </c>
    </row>
    <row r="60" spans="2:37" x14ac:dyDescent="0.25">
      <c r="B60" s="26" t="s">
        <v>79</v>
      </c>
      <c r="K60" s="21" t="s">
        <v>68</v>
      </c>
      <c r="P60" s="5" t="s">
        <v>50</v>
      </c>
    </row>
    <row r="61" spans="2:37" x14ac:dyDescent="0.25">
      <c r="B61" s="25" t="s">
        <v>80</v>
      </c>
      <c r="P61" s="5" t="s">
        <v>49</v>
      </c>
    </row>
    <row r="62" spans="2:37" x14ac:dyDescent="0.25">
      <c r="B62" s="25" t="s">
        <v>71</v>
      </c>
    </row>
    <row r="63" spans="2:37" x14ac:dyDescent="0.25">
      <c r="B63" s="24"/>
    </row>
    <row r="64" spans="2:37" x14ac:dyDescent="0.25">
      <c r="B64" s="27" t="s">
        <v>87</v>
      </c>
      <c r="K64" s="13" t="s">
        <v>51</v>
      </c>
      <c r="L64" s="1" t="s">
        <v>40</v>
      </c>
      <c r="P64" s="14" t="s">
        <v>44</v>
      </c>
      <c r="AK64" s="1" t="s">
        <v>94</v>
      </c>
    </row>
    <row r="65" spans="2:16" x14ac:dyDescent="0.25">
      <c r="B65" s="26" t="s">
        <v>88</v>
      </c>
      <c r="K65" s="21" t="s">
        <v>68</v>
      </c>
      <c r="P65" s="5" t="s">
        <v>54</v>
      </c>
    </row>
    <row r="66" spans="2:16" x14ac:dyDescent="0.25">
      <c r="B66" s="27" t="s">
        <v>86</v>
      </c>
      <c r="P66" s="5" t="s">
        <v>52</v>
      </c>
    </row>
    <row r="67" spans="2:16" x14ac:dyDescent="0.25">
      <c r="B67" s="26" t="s">
        <v>88</v>
      </c>
      <c r="P67" s="5" t="s">
        <v>53</v>
      </c>
    </row>
    <row r="68" spans="2:16" x14ac:dyDescent="0.25">
      <c r="B68" s="27" t="s">
        <v>81</v>
      </c>
      <c r="P68" s="6"/>
    </row>
    <row r="69" spans="2:16" x14ac:dyDescent="0.25">
      <c r="B69" s="27" t="s">
        <v>82</v>
      </c>
      <c r="P69" s="16" t="s">
        <v>44</v>
      </c>
    </row>
    <row r="70" spans="2:16" x14ac:dyDescent="0.25">
      <c r="B70" s="27" t="s">
        <v>83</v>
      </c>
      <c r="P70" s="5" t="s">
        <v>55</v>
      </c>
    </row>
    <row r="71" spans="2:16" x14ac:dyDescent="0.25">
      <c r="B71" s="27" t="s">
        <v>84</v>
      </c>
      <c r="P71" s="5" t="s">
        <v>56</v>
      </c>
    </row>
    <row r="72" spans="2:16" x14ac:dyDescent="0.25">
      <c r="B72" s="27" t="s">
        <v>83</v>
      </c>
    </row>
    <row r="73" spans="2:16" x14ac:dyDescent="0.25">
      <c r="B73" s="28" t="s">
        <v>85</v>
      </c>
    </row>
    <row r="74" spans="2:16" ht="30" x14ac:dyDescent="0.25">
      <c r="K74" s="15" t="s">
        <v>41</v>
      </c>
      <c r="L74" s="17" t="s">
        <v>40</v>
      </c>
      <c r="P74" s="16" t="s">
        <v>39</v>
      </c>
    </row>
    <row r="75" spans="2:16" x14ac:dyDescent="0.25">
      <c r="K75" s="21" t="s">
        <v>68</v>
      </c>
      <c r="P75" s="5" t="s">
        <v>57</v>
      </c>
    </row>
    <row r="76" spans="2:16" x14ac:dyDescent="0.25">
      <c r="P76" s="5" t="s">
        <v>58</v>
      </c>
    </row>
    <row r="79" spans="2:16" x14ac:dyDescent="0.25">
      <c r="K79" s="15" t="s">
        <v>59</v>
      </c>
      <c r="L79" s="17" t="s">
        <v>40</v>
      </c>
      <c r="P79" s="16" t="s">
        <v>60</v>
      </c>
    </row>
    <row r="80" spans="2:16" x14ac:dyDescent="0.25">
      <c r="K80" s="21" t="s">
        <v>68</v>
      </c>
      <c r="P80" s="5" t="s">
        <v>62</v>
      </c>
    </row>
    <row r="81" spans="11:16" x14ac:dyDescent="0.25">
      <c r="P81" s="5" t="s">
        <v>61</v>
      </c>
    </row>
    <row r="82" spans="11:16" ht="45" x14ac:dyDescent="0.25">
      <c r="P82" s="18" t="s">
        <v>63</v>
      </c>
    </row>
    <row r="85" spans="11:16" x14ac:dyDescent="0.25">
      <c r="K85" s="19"/>
      <c r="P85" s="3" t="s">
        <v>74</v>
      </c>
    </row>
    <row r="86" spans="11:16" x14ac:dyDescent="0.25">
      <c r="K86" s="19" t="s">
        <v>66</v>
      </c>
      <c r="P86" s="8" t="s">
        <v>64</v>
      </c>
    </row>
    <row r="87" spans="11:16" x14ac:dyDescent="0.25">
      <c r="K87" s="19"/>
      <c r="P87" s="3" t="s">
        <v>57</v>
      </c>
    </row>
    <row r="88" spans="11:16" x14ac:dyDescent="0.25">
      <c r="K88" s="19"/>
      <c r="P88" s="12" t="s">
        <v>65</v>
      </c>
    </row>
    <row r="89" spans="11:16" x14ac:dyDescent="0.25">
      <c r="P89" s="8" t="s">
        <v>69</v>
      </c>
    </row>
    <row r="90" spans="11:16" x14ac:dyDescent="0.25">
      <c r="P90" s="7" t="s">
        <v>70</v>
      </c>
    </row>
  </sheetData>
  <pageMargins left="0.7" right="0.7" top="0.75" bottom="0.75" header="0.3" footer="0.3"/>
  <pageSetup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6"/>
  <sheetViews>
    <sheetView workbookViewId="0">
      <pane ySplit="6" topLeftCell="A7" activePane="bottomLeft" state="frozen"/>
      <selection pane="bottomLeft" activeCell="AF24" sqref="AF24"/>
    </sheetView>
  </sheetViews>
  <sheetFormatPr defaultRowHeight="12.75" x14ac:dyDescent="0.2"/>
  <cols>
    <col min="1" max="1" width="19.7109375" style="40" customWidth="1"/>
    <col min="2" max="2" width="8.5703125" style="40" customWidth="1"/>
    <col min="3" max="3" width="16.140625" style="40" customWidth="1"/>
    <col min="4" max="4" width="7.5703125" style="40" customWidth="1"/>
    <col min="5" max="5" width="10.7109375" style="40" customWidth="1"/>
    <col min="6" max="6" width="5.42578125" style="40" customWidth="1"/>
    <col min="7" max="7" width="3.85546875" style="40" customWidth="1"/>
    <col min="8" max="8" width="5.42578125" style="40" customWidth="1"/>
    <col min="9" max="9" width="3.85546875" style="40" customWidth="1"/>
    <col min="10" max="10" width="5.42578125" style="40" customWidth="1"/>
    <col min="11" max="11" width="3.85546875" style="40" customWidth="1"/>
    <col min="12" max="12" width="5.42578125" style="40" customWidth="1"/>
    <col min="13" max="13" width="3.85546875" style="40" customWidth="1"/>
    <col min="14" max="14" width="5.42578125" style="40" customWidth="1"/>
    <col min="15" max="15" width="3.85546875" style="40" customWidth="1"/>
    <col min="16" max="16" width="5.42578125" style="40" customWidth="1"/>
    <col min="17" max="17" width="3.85546875" style="40" customWidth="1"/>
    <col min="18" max="18" width="5.42578125" style="40" customWidth="1"/>
    <col min="19" max="19" width="3.85546875" style="40" customWidth="1"/>
    <col min="20" max="20" width="5.42578125" style="40" customWidth="1"/>
    <col min="21" max="21" width="3.85546875" style="40" customWidth="1"/>
    <col min="22" max="22" width="6.42578125" style="40" customWidth="1"/>
    <col min="23" max="23" width="3.85546875" style="40" customWidth="1"/>
    <col min="24" max="256" width="9.140625" style="40"/>
    <col min="257" max="257" width="19.7109375" style="40" customWidth="1"/>
    <col min="258" max="258" width="8.5703125" style="40" customWidth="1"/>
    <col min="259" max="259" width="16.140625" style="40" customWidth="1"/>
    <col min="260" max="260" width="7.5703125" style="40" customWidth="1"/>
    <col min="261" max="261" width="10.7109375" style="40" customWidth="1"/>
    <col min="262" max="262" width="5.42578125" style="40" customWidth="1"/>
    <col min="263" max="263" width="3.85546875" style="40" customWidth="1"/>
    <col min="264" max="264" width="5.42578125" style="40" customWidth="1"/>
    <col min="265" max="265" width="3.85546875" style="40" customWidth="1"/>
    <col min="266" max="266" width="5.42578125" style="40" customWidth="1"/>
    <col min="267" max="267" width="3.85546875" style="40" customWidth="1"/>
    <col min="268" max="268" width="5.42578125" style="40" customWidth="1"/>
    <col min="269" max="269" width="3.85546875" style="40" customWidth="1"/>
    <col min="270" max="270" width="5.42578125" style="40" customWidth="1"/>
    <col min="271" max="271" width="3.85546875" style="40" customWidth="1"/>
    <col min="272" max="272" width="5.42578125" style="40" customWidth="1"/>
    <col min="273" max="273" width="3.85546875" style="40" customWidth="1"/>
    <col min="274" max="274" width="5.42578125" style="40" customWidth="1"/>
    <col min="275" max="275" width="3.85546875" style="40" customWidth="1"/>
    <col min="276" max="276" width="5.42578125" style="40" customWidth="1"/>
    <col min="277" max="277" width="3.85546875" style="40" customWidth="1"/>
    <col min="278" max="278" width="6.42578125" style="40" customWidth="1"/>
    <col min="279" max="279" width="3.85546875" style="40" customWidth="1"/>
    <col min="280" max="512" width="9.140625" style="40"/>
    <col min="513" max="513" width="19.7109375" style="40" customWidth="1"/>
    <col min="514" max="514" width="8.5703125" style="40" customWidth="1"/>
    <col min="515" max="515" width="16.140625" style="40" customWidth="1"/>
    <col min="516" max="516" width="7.5703125" style="40" customWidth="1"/>
    <col min="517" max="517" width="10.7109375" style="40" customWidth="1"/>
    <col min="518" max="518" width="5.42578125" style="40" customWidth="1"/>
    <col min="519" max="519" width="3.85546875" style="40" customWidth="1"/>
    <col min="520" max="520" width="5.42578125" style="40" customWidth="1"/>
    <col min="521" max="521" width="3.85546875" style="40" customWidth="1"/>
    <col min="522" max="522" width="5.42578125" style="40" customWidth="1"/>
    <col min="523" max="523" width="3.85546875" style="40" customWidth="1"/>
    <col min="524" max="524" width="5.42578125" style="40" customWidth="1"/>
    <col min="525" max="525" width="3.85546875" style="40" customWidth="1"/>
    <col min="526" max="526" width="5.42578125" style="40" customWidth="1"/>
    <col min="527" max="527" width="3.85546875" style="40" customWidth="1"/>
    <col min="528" max="528" width="5.42578125" style="40" customWidth="1"/>
    <col min="529" max="529" width="3.85546875" style="40" customWidth="1"/>
    <col min="530" max="530" width="5.42578125" style="40" customWidth="1"/>
    <col min="531" max="531" width="3.85546875" style="40" customWidth="1"/>
    <col min="532" max="532" width="5.42578125" style="40" customWidth="1"/>
    <col min="533" max="533" width="3.85546875" style="40" customWidth="1"/>
    <col min="534" max="534" width="6.42578125" style="40" customWidth="1"/>
    <col min="535" max="535" width="3.85546875" style="40" customWidth="1"/>
    <col min="536" max="768" width="9.140625" style="40"/>
    <col min="769" max="769" width="19.7109375" style="40" customWidth="1"/>
    <col min="770" max="770" width="8.5703125" style="40" customWidth="1"/>
    <col min="771" max="771" width="16.140625" style="40" customWidth="1"/>
    <col min="772" max="772" width="7.5703125" style="40" customWidth="1"/>
    <col min="773" max="773" width="10.7109375" style="40" customWidth="1"/>
    <col min="774" max="774" width="5.42578125" style="40" customWidth="1"/>
    <col min="775" max="775" width="3.85546875" style="40" customWidth="1"/>
    <col min="776" max="776" width="5.42578125" style="40" customWidth="1"/>
    <col min="777" max="777" width="3.85546875" style="40" customWidth="1"/>
    <col min="778" max="778" width="5.42578125" style="40" customWidth="1"/>
    <col min="779" max="779" width="3.85546875" style="40" customWidth="1"/>
    <col min="780" max="780" width="5.42578125" style="40" customWidth="1"/>
    <col min="781" max="781" width="3.85546875" style="40" customWidth="1"/>
    <col min="782" max="782" width="5.42578125" style="40" customWidth="1"/>
    <col min="783" max="783" width="3.85546875" style="40" customWidth="1"/>
    <col min="784" max="784" width="5.42578125" style="40" customWidth="1"/>
    <col min="785" max="785" width="3.85546875" style="40" customWidth="1"/>
    <col min="786" max="786" width="5.42578125" style="40" customWidth="1"/>
    <col min="787" max="787" width="3.85546875" style="40" customWidth="1"/>
    <col min="788" max="788" width="5.42578125" style="40" customWidth="1"/>
    <col min="789" max="789" width="3.85546875" style="40" customWidth="1"/>
    <col min="790" max="790" width="6.42578125" style="40" customWidth="1"/>
    <col min="791" max="791" width="3.85546875" style="40" customWidth="1"/>
    <col min="792" max="1024" width="9.140625" style="40"/>
    <col min="1025" max="1025" width="19.7109375" style="40" customWidth="1"/>
    <col min="1026" max="1026" width="8.5703125" style="40" customWidth="1"/>
    <col min="1027" max="1027" width="16.140625" style="40" customWidth="1"/>
    <col min="1028" max="1028" width="7.5703125" style="40" customWidth="1"/>
    <col min="1029" max="1029" width="10.7109375" style="40" customWidth="1"/>
    <col min="1030" max="1030" width="5.42578125" style="40" customWidth="1"/>
    <col min="1031" max="1031" width="3.85546875" style="40" customWidth="1"/>
    <col min="1032" max="1032" width="5.42578125" style="40" customWidth="1"/>
    <col min="1033" max="1033" width="3.85546875" style="40" customWidth="1"/>
    <col min="1034" max="1034" width="5.42578125" style="40" customWidth="1"/>
    <col min="1035" max="1035" width="3.85546875" style="40" customWidth="1"/>
    <col min="1036" max="1036" width="5.42578125" style="40" customWidth="1"/>
    <col min="1037" max="1037" width="3.85546875" style="40" customWidth="1"/>
    <col min="1038" max="1038" width="5.42578125" style="40" customWidth="1"/>
    <col min="1039" max="1039" width="3.85546875" style="40" customWidth="1"/>
    <col min="1040" max="1040" width="5.42578125" style="40" customWidth="1"/>
    <col min="1041" max="1041" width="3.85546875" style="40" customWidth="1"/>
    <col min="1042" max="1042" width="5.42578125" style="40" customWidth="1"/>
    <col min="1043" max="1043" width="3.85546875" style="40" customWidth="1"/>
    <col min="1044" max="1044" width="5.42578125" style="40" customWidth="1"/>
    <col min="1045" max="1045" width="3.85546875" style="40" customWidth="1"/>
    <col min="1046" max="1046" width="6.42578125" style="40" customWidth="1"/>
    <col min="1047" max="1047" width="3.85546875" style="40" customWidth="1"/>
    <col min="1048" max="1280" width="9.140625" style="40"/>
    <col min="1281" max="1281" width="19.7109375" style="40" customWidth="1"/>
    <col min="1282" max="1282" width="8.5703125" style="40" customWidth="1"/>
    <col min="1283" max="1283" width="16.140625" style="40" customWidth="1"/>
    <col min="1284" max="1284" width="7.5703125" style="40" customWidth="1"/>
    <col min="1285" max="1285" width="10.7109375" style="40" customWidth="1"/>
    <col min="1286" max="1286" width="5.42578125" style="40" customWidth="1"/>
    <col min="1287" max="1287" width="3.85546875" style="40" customWidth="1"/>
    <col min="1288" max="1288" width="5.42578125" style="40" customWidth="1"/>
    <col min="1289" max="1289" width="3.85546875" style="40" customWidth="1"/>
    <col min="1290" max="1290" width="5.42578125" style="40" customWidth="1"/>
    <col min="1291" max="1291" width="3.85546875" style="40" customWidth="1"/>
    <col min="1292" max="1292" width="5.42578125" style="40" customWidth="1"/>
    <col min="1293" max="1293" width="3.85546875" style="40" customWidth="1"/>
    <col min="1294" max="1294" width="5.42578125" style="40" customWidth="1"/>
    <col min="1295" max="1295" width="3.85546875" style="40" customWidth="1"/>
    <col min="1296" max="1296" width="5.42578125" style="40" customWidth="1"/>
    <col min="1297" max="1297" width="3.85546875" style="40" customWidth="1"/>
    <col min="1298" max="1298" width="5.42578125" style="40" customWidth="1"/>
    <col min="1299" max="1299" width="3.85546875" style="40" customWidth="1"/>
    <col min="1300" max="1300" width="5.42578125" style="40" customWidth="1"/>
    <col min="1301" max="1301" width="3.85546875" style="40" customWidth="1"/>
    <col min="1302" max="1302" width="6.42578125" style="40" customWidth="1"/>
    <col min="1303" max="1303" width="3.85546875" style="40" customWidth="1"/>
    <col min="1304" max="1536" width="9.140625" style="40"/>
    <col min="1537" max="1537" width="19.7109375" style="40" customWidth="1"/>
    <col min="1538" max="1538" width="8.5703125" style="40" customWidth="1"/>
    <col min="1539" max="1539" width="16.140625" style="40" customWidth="1"/>
    <col min="1540" max="1540" width="7.5703125" style="40" customWidth="1"/>
    <col min="1541" max="1541" width="10.7109375" style="40" customWidth="1"/>
    <col min="1542" max="1542" width="5.42578125" style="40" customWidth="1"/>
    <col min="1543" max="1543" width="3.85546875" style="40" customWidth="1"/>
    <col min="1544" max="1544" width="5.42578125" style="40" customWidth="1"/>
    <col min="1545" max="1545" width="3.85546875" style="40" customWidth="1"/>
    <col min="1546" max="1546" width="5.42578125" style="40" customWidth="1"/>
    <col min="1547" max="1547" width="3.85546875" style="40" customWidth="1"/>
    <col min="1548" max="1548" width="5.42578125" style="40" customWidth="1"/>
    <col min="1549" max="1549" width="3.85546875" style="40" customWidth="1"/>
    <col min="1550" max="1550" width="5.42578125" style="40" customWidth="1"/>
    <col min="1551" max="1551" width="3.85546875" style="40" customWidth="1"/>
    <col min="1552" max="1552" width="5.42578125" style="40" customWidth="1"/>
    <col min="1553" max="1553" width="3.85546875" style="40" customWidth="1"/>
    <col min="1554" max="1554" width="5.42578125" style="40" customWidth="1"/>
    <col min="1555" max="1555" width="3.85546875" style="40" customWidth="1"/>
    <col min="1556" max="1556" width="5.42578125" style="40" customWidth="1"/>
    <col min="1557" max="1557" width="3.85546875" style="40" customWidth="1"/>
    <col min="1558" max="1558" width="6.42578125" style="40" customWidth="1"/>
    <col min="1559" max="1559" width="3.85546875" style="40" customWidth="1"/>
    <col min="1560" max="1792" width="9.140625" style="40"/>
    <col min="1793" max="1793" width="19.7109375" style="40" customWidth="1"/>
    <col min="1794" max="1794" width="8.5703125" style="40" customWidth="1"/>
    <col min="1795" max="1795" width="16.140625" style="40" customWidth="1"/>
    <col min="1796" max="1796" width="7.5703125" style="40" customWidth="1"/>
    <col min="1797" max="1797" width="10.7109375" style="40" customWidth="1"/>
    <col min="1798" max="1798" width="5.42578125" style="40" customWidth="1"/>
    <col min="1799" max="1799" width="3.85546875" style="40" customWidth="1"/>
    <col min="1800" max="1800" width="5.42578125" style="40" customWidth="1"/>
    <col min="1801" max="1801" width="3.85546875" style="40" customWidth="1"/>
    <col min="1802" max="1802" width="5.42578125" style="40" customWidth="1"/>
    <col min="1803" max="1803" width="3.85546875" style="40" customWidth="1"/>
    <col min="1804" max="1804" width="5.42578125" style="40" customWidth="1"/>
    <col min="1805" max="1805" width="3.85546875" style="40" customWidth="1"/>
    <col min="1806" max="1806" width="5.42578125" style="40" customWidth="1"/>
    <col min="1807" max="1807" width="3.85546875" style="40" customWidth="1"/>
    <col min="1808" max="1808" width="5.42578125" style="40" customWidth="1"/>
    <col min="1809" max="1809" width="3.85546875" style="40" customWidth="1"/>
    <col min="1810" max="1810" width="5.42578125" style="40" customWidth="1"/>
    <col min="1811" max="1811" width="3.85546875" style="40" customWidth="1"/>
    <col min="1812" max="1812" width="5.42578125" style="40" customWidth="1"/>
    <col min="1813" max="1813" width="3.85546875" style="40" customWidth="1"/>
    <col min="1814" max="1814" width="6.42578125" style="40" customWidth="1"/>
    <col min="1815" max="1815" width="3.85546875" style="40" customWidth="1"/>
    <col min="1816" max="2048" width="9.140625" style="40"/>
    <col min="2049" max="2049" width="19.7109375" style="40" customWidth="1"/>
    <col min="2050" max="2050" width="8.5703125" style="40" customWidth="1"/>
    <col min="2051" max="2051" width="16.140625" style="40" customWidth="1"/>
    <col min="2052" max="2052" width="7.5703125" style="40" customWidth="1"/>
    <col min="2053" max="2053" width="10.7109375" style="40" customWidth="1"/>
    <col min="2054" max="2054" width="5.42578125" style="40" customWidth="1"/>
    <col min="2055" max="2055" width="3.85546875" style="40" customWidth="1"/>
    <col min="2056" max="2056" width="5.42578125" style="40" customWidth="1"/>
    <col min="2057" max="2057" width="3.85546875" style="40" customWidth="1"/>
    <col min="2058" max="2058" width="5.42578125" style="40" customWidth="1"/>
    <col min="2059" max="2059" width="3.85546875" style="40" customWidth="1"/>
    <col min="2060" max="2060" width="5.42578125" style="40" customWidth="1"/>
    <col min="2061" max="2061" width="3.85546875" style="40" customWidth="1"/>
    <col min="2062" max="2062" width="5.42578125" style="40" customWidth="1"/>
    <col min="2063" max="2063" width="3.85546875" style="40" customWidth="1"/>
    <col min="2064" max="2064" width="5.42578125" style="40" customWidth="1"/>
    <col min="2065" max="2065" width="3.85546875" style="40" customWidth="1"/>
    <col min="2066" max="2066" width="5.42578125" style="40" customWidth="1"/>
    <col min="2067" max="2067" width="3.85546875" style="40" customWidth="1"/>
    <col min="2068" max="2068" width="5.42578125" style="40" customWidth="1"/>
    <col min="2069" max="2069" width="3.85546875" style="40" customWidth="1"/>
    <col min="2070" max="2070" width="6.42578125" style="40" customWidth="1"/>
    <col min="2071" max="2071" width="3.85546875" style="40" customWidth="1"/>
    <col min="2072" max="2304" width="9.140625" style="40"/>
    <col min="2305" max="2305" width="19.7109375" style="40" customWidth="1"/>
    <col min="2306" max="2306" width="8.5703125" style="40" customWidth="1"/>
    <col min="2307" max="2307" width="16.140625" style="40" customWidth="1"/>
    <col min="2308" max="2308" width="7.5703125" style="40" customWidth="1"/>
    <col min="2309" max="2309" width="10.7109375" style="40" customWidth="1"/>
    <col min="2310" max="2310" width="5.42578125" style="40" customWidth="1"/>
    <col min="2311" max="2311" width="3.85546875" style="40" customWidth="1"/>
    <col min="2312" max="2312" width="5.42578125" style="40" customWidth="1"/>
    <col min="2313" max="2313" width="3.85546875" style="40" customWidth="1"/>
    <col min="2314" max="2314" width="5.42578125" style="40" customWidth="1"/>
    <col min="2315" max="2315" width="3.85546875" style="40" customWidth="1"/>
    <col min="2316" max="2316" width="5.42578125" style="40" customWidth="1"/>
    <col min="2317" max="2317" width="3.85546875" style="40" customWidth="1"/>
    <col min="2318" max="2318" width="5.42578125" style="40" customWidth="1"/>
    <col min="2319" max="2319" width="3.85546875" style="40" customWidth="1"/>
    <col min="2320" max="2320" width="5.42578125" style="40" customWidth="1"/>
    <col min="2321" max="2321" width="3.85546875" style="40" customWidth="1"/>
    <col min="2322" max="2322" width="5.42578125" style="40" customWidth="1"/>
    <col min="2323" max="2323" width="3.85546875" style="40" customWidth="1"/>
    <col min="2324" max="2324" width="5.42578125" style="40" customWidth="1"/>
    <col min="2325" max="2325" width="3.85546875" style="40" customWidth="1"/>
    <col min="2326" max="2326" width="6.42578125" style="40" customWidth="1"/>
    <col min="2327" max="2327" width="3.85546875" style="40" customWidth="1"/>
    <col min="2328" max="2560" width="9.140625" style="40"/>
    <col min="2561" max="2561" width="19.7109375" style="40" customWidth="1"/>
    <col min="2562" max="2562" width="8.5703125" style="40" customWidth="1"/>
    <col min="2563" max="2563" width="16.140625" style="40" customWidth="1"/>
    <col min="2564" max="2564" width="7.5703125" style="40" customWidth="1"/>
    <col min="2565" max="2565" width="10.7109375" style="40" customWidth="1"/>
    <col min="2566" max="2566" width="5.42578125" style="40" customWidth="1"/>
    <col min="2567" max="2567" width="3.85546875" style="40" customWidth="1"/>
    <col min="2568" max="2568" width="5.42578125" style="40" customWidth="1"/>
    <col min="2569" max="2569" width="3.85546875" style="40" customWidth="1"/>
    <col min="2570" max="2570" width="5.42578125" style="40" customWidth="1"/>
    <col min="2571" max="2571" width="3.85546875" style="40" customWidth="1"/>
    <col min="2572" max="2572" width="5.42578125" style="40" customWidth="1"/>
    <col min="2573" max="2573" width="3.85546875" style="40" customWidth="1"/>
    <col min="2574" max="2574" width="5.42578125" style="40" customWidth="1"/>
    <col min="2575" max="2575" width="3.85546875" style="40" customWidth="1"/>
    <col min="2576" max="2576" width="5.42578125" style="40" customWidth="1"/>
    <col min="2577" max="2577" width="3.85546875" style="40" customWidth="1"/>
    <col min="2578" max="2578" width="5.42578125" style="40" customWidth="1"/>
    <col min="2579" max="2579" width="3.85546875" style="40" customWidth="1"/>
    <col min="2580" max="2580" width="5.42578125" style="40" customWidth="1"/>
    <col min="2581" max="2581" width="3.85546875" style="40" customWidth="1"/>
    <col min="2582" max="2582" width="6.42578125" style="40" customWidth="1"/>
    <col min="2583" max="2583" width="3.85546875" style="40" customWidth="1"/>
    <col min="2584" max="2816" width="9.140625" style="40"/>
    <col min="2817" max="2817" width="19.7109375" style="40" customWidth="1"/>
    <col min="2818" max="2818" width="8.5703125" style="40" customWidth="1"/>
    <col min="2819" max="2819" width="16.140625" style="40" customWidth="1"/>
    <col min="2820" max="2820" width="7.5703125" style="40" customWidth="1"/>
    <col min="2821" max="2821" width="10.7109375" style="40" customWidth="1"/>
    <col min="2822" max="2822" width="5.42578125" style="40" customWidth="1"/>
    <col min="2823" max="2823" width="3.85546875" style="40" customWidth="1"/>
    <col min="2824" max="2824" width="5.42578125" style="40" customWidth="1"/>
    <col min="2825" max="2825" width="3.85546875" style="40" customWidth="1"/>
    <col min="2826" max="2826" width="5.42578125" style="40" customWidth="1"/>
    <col min="2827" max="2827" width="3.85546875" style="40" customWidth="1"/>
    <col min="2828" max="2828" width="5.42578125" style="40" customWidth="1"/>
    <col min="2829" max="2829" width="3.85546875" style="40" customWidth="1"/>
    <col min="2830" max="2830" width="5.42578125" style="40" customWidth="1"/>
    <col min="2831" max="2831" width="3.85546875" style="40" customWidth="1"/>
    <col min="2832" max="2832" width="5.42578125" style="40" customWidth="1"/>
    <col min="2833" max="2833" width="3.85546875" style="40" customWidth="1"/>
    <col min="2834" max="2834" width="5.42578125" style="40" customWidth="1"/>
    <col min="2835" max="2835" width="3.85546875" style="40" customWidth="1"/>
    <col min="2836" max="2836" width="5.42578125" style="40" customWidth="1"/>
    <col min="2837" max="2837" width="3.85546875" style="40" customWidth="1"/>
    <col min="2838" max="2838" width="6.42578125" style="40" customWidth="1"/>
    <col min="2839" max="2839" width="3.85546875" style="40" customWidth="1"/>
    <col min="2840" max="3072" width="9.140625" style="40"/>
    <col min="3073" max="3073" width="19.7109375" style="40" customWidth="1"/>
    <col min="3074" max="3074" width="8.5703125" style="40" customWidth="1"/>
    <col min="3075" max="3075" width="16.140625" style="40" customWidth="1"/>
    <col min="3076" max="3076" width="7.5703125" style="40" customWidth="1"/>
    <col min="3077" max="3077" width="10.7109375" style="40" customWidth="1"/>
    <col min="3078" max="3078" width="5.42578125" style="40" customWidth="1"/>
    <col min="3079" max="3079" width="3.85546875" style="40" customWidth="1"/>
    <col min="3080" max="3080" width="5.42578125" style="40" customWidth="1"/>
    <col min="3081" max="3081" width="3.85546875" style="40" customWidth="1"/>
    <col min="3082" max="3082" width="5.42578125" style="40" customWidth="1"/>
    <col min="3083" max="3083" width="3.85546875" style="40" customWidth="1"/>
    <col min="3084" max="3084" width="5.42578125" style="40" customWidth="1"/>
    <col min="3085" max="3085" width="3.85546875" style="40" customWidth="1"/>
    <col min="3086" max="3086" width="5.42578125" style="40" customWidth="1"/>
    <col min="3087" max="3087" width="3.85546875" style="40" customWidth="1"/>
    <col min="3088" max="3088" width="5.42578125" style="40" customWidth="1"/>
    <col min="3089" max="3089" width="3.85546875" style="40" customWidth="1"/>
    <col min="3090" max="3090" width="5.42578125" style="40" customWidth="1"/>
    <col min="3091" max="3091" width="3.85546875" style="40" customWidth="1"/>
    <col min="3092" max="3092" width="5.42578125" style="40" customWidth="1"/>
    <col min="3093" max="3093" width="3.85546875" style="40" customWidth="1"/>
    <col min="3094" max="3094" width="6.42578125" style="40" customWidth="1"/>
    <col min="3095" max="3095" width="3.85546875" style="40" customWidth="1"/>
    <col min="3096" max="3328" width="9.140625" style="40"/>
    <col min="3329" max="3329" width="19.7109375" style="40" customWidth="1"/>
    <col min="3330" max="3330" width="8.5703125" style="40" customWidth="1"/>
    <col min="3331" max="3331" width="16.140625" style="40" customWidth="1"/>
    <col min="3332" max="3332" width="7.5703125" style="40" customWidth="1"/>
    <col min="3333" max="3333" width="10.7109375" style="40" customWidth="1"/>
    <col min="3334" max="3334" width="5.42578125" style="40" customWidth="1"/>
    <col min="3335" max="3335" width="3.85546875" style="40" customWidth="1"/>
    <col min="3336" max="3336" width="5.42578125" style="40" customWidth="1"/>
    <col min="3337" max="3337" width="3.85546875" style="40" customWidth="1"/>
    <col min="3338" max="3338" width="5.42578125" style="40" customWidth="1"/>
    <col min="3339" max="3339" width="3.85546875" style="40" customWidth="1"/>
    <col min="3340" max="3340" width="5.42578125" style="40" customWidth="1"/>
    <col min="3341" max="3341" width="3.85546875" style="40" customWidth="1"/>
    <col min="3342" max="3342" width="5.42578125" style="40" customWidth="1"/>
    <col min="3343" max="3343" width="3.85546875" style="40" customWidth="1"/>
    <col min="3344" max="3344" width="5.42578125" style="40" customWidth="1"/>
    <col min="3345" max="3345" width="3.85546875" style="40" customWidth="1"/>
    <col min="3346" max="3346" width="5.42578125" style="40" customWidth="1"/>
    <col min="3347" max="3347" width="3.85546875" style="40" customWidth="1"/>
    <col min="3348" max="3348" width="5.42578125" style="40" customWidth="1"/>
    <col min="3349" max="3349" width="3.85546875" style="40" customWidth="1"/>
    <col min="3350" max="3350" width="6.42578125" style="40" customWidth="1"/>
    <col min="3351" max="3351" width="3.85546875" style="40" customWidth="1"/>
    <col min="3352" max="3584" width="9.140625" style="40"/>
    <col min="3585" max="3585" width="19.7109375" style="40" customWidth="1"/>
    <col min="3586" max="3586" width="8.5703125" style="40" customWidth="1"/>
    <col min="3587" max="3587" width="16.140625" style="40" customWidth="1"/>
    <col min="3588" max="3588" width="7.5703125" style="40" customWidth="1"/>
    <col min="3589" max="3589" width="10.7109375" style="40" customWidth="1"/>
    <col min="3590" max="3590" width="5.42578125" style="40" customWidth="1"/>
    <col min="3591" max="3591" width="3.85546875" style="40" customWidth="1"/>
    <col min="3592" max="3592" width="5.42578125" style="40" customWidth="1"/>
    <col min="3593" max="3593" width="3.85546875" style="40" customWidth="1"/>
    <col min="3594" max="3594" width="5.42578125" style="40" customWidth="1"/>
    <col min="3595" max="3595" width="3.85546875" style="40" customWidth="1"/>
    <col min="3596" max="3596" width="5.42578125" style="40" customWidth="1"/>
    <col min="3597" max="3597" width="3.85546875" style="40" customWidth="1"/>
    <col min="3598" max="3598" width="5.42578125" style="40" customWidth="1"/>
    <col min="3599" max="3599" width="3.85546875" style="40" customWidth="1"/>
    <col min="3600" max="3600" width="5.42578125" style="40" customWidth="1"/>
    <col min="3601" max="3601" width="3.85546875" style="40" customWidth="1"/>
    <col min="3602" max="3602" width="5.42578125" style="40" customWidth="1"/>
    <col min="3603" max="3603" width="3.85546875" style="40" customWidth="1"/>
    <col min="3604" max="3604" width="5.42578125" style="40" customWidth="1"/>
    <col min="3605" max="3605" width="3.85546875" style="40" customWidth="1"/>
    <col min="3606" max="3606" width="6.42578125" style="40" customWidth="1"/>
    <col min="3607" max="3607" width="3.85546875" style="40" customWidth="1"/>
    <col min="3608" max="3840" width="9.140625" style="40"/>
    <col min="3841" max="3841" width="19.7109375" style="40" customWidth="1"/>
    <col min="3842" max="3842" width="8.5703125" style="40" customWidth="1"/>
    <col min="3843" max="3843" width="16.140625" style="40" customWidth="1"/>
    <col min="3844" max="3844" width="7.5703125" style="40" customWidth="1"/>
    <col min="3845" max="3845" width="10.7109375" style="40" customWidth="1"/>
    <col min="3846" max="3846" width="5.42578125" style="40" customWidth="1"/>
    <col min="3847" max="3847" width="3.85546875" style="40" customWidth="1"/>
    <col min="3848" max="3848" width="5.42578125" style="40" customWidth="1"/>
    <col min="3849" max="3849" width="3.85546875" style="40" customWidth="1"/>
    <col min="3850" max="3850" width="5.42578125" style="40" customWidth="1"/>
    <col min="3851" max="3851" width="3.85546875" style="40" customWidth="1"/>
    <col min="3852" max="3852" width="5.42578125" style="40" customWidth="1"/>
    <col min="3853" max="3853" width="3.85546875" style="40" customWidth="1"/>
    <col min="3854" max="3854" width="5.42578125" style="40" customWidth="1"/>
    <col min="3855" max="3855" width="3.85546875" style="40" customWidth="1"/>
    <col min="3856" max="3856" width="5.42578125" style="40" customWidth="1"/>
    <col min="3857" max="3857" width="3.85546875" style="40" customWidth="1"/>
    <col min="3858" max="3858" width="5.42578125" style="40" customWidth="1"/>
    <col min="3859" max="3859" width="3.85546875" style="40" customWidth="1"/>
    <col min="3860" max="3860" width="5.42578125" style="40" customWidth="1"/>
    <col min="3861" max="3861" width="3.85546875" style="40" customWidth="1"/>
    <col min="3862" max="3862" width="6.42578125" style="40" customWidth="1"/>
    <col min="3863" max="3863" width="3.85546875" style="40" customWidth="1"/>
    <col min="3864" max="4096" width="9.140625" style="40"/>
    <col min="4097" max="4097" width="19.7109375" style="40" customWidth="1"/>
    <col min="4098" max="4098" width="8.5703125" style="40" customWidth="1"/>
    <col min="4099" max="4099" width="16.140625" style="40" customWidth="1"/>
    <col min="4100" max="4100" width="7.5703125" style="40" customWidth="1"/>
    <col min="4101" max="4101" width="10.7109375" style="40" customWidth="1"/>
    <col min="4102" max="4102" width="5.42578125" style="40" customWidth="1"/>
    <col min="4103" max="4103" width="3.85546875" style="40" customWidth="1"/>
    <col min="4104" max="4104" width="5.42578125" style="40" customWidth="1"/>
    <col min="4105" max="4105" width="3.85546875" style="40" customWidth="1"/>
    <col min="4106" max="4106" width="5.42578125" style="40" customWidth="1"/>
    <col min="4107" max="4107" width="3.85546875" style="40" customWidth="1"/>
    <col min="4108" max="4108" width="5.42578125" style="40" customWidth="1"/>
    <col min="4109" max="4109" width="3.85546875" style="40" customWidth="1"/>
    <col min="4110" max="4110" width="5.42578125" style="40" customWidth="1"/>
    <col min="4111" max="4111" width="3.85546875" style="40" customWidth="1"/>
    <col min="4112" max="4112" width="5.42578125" style="40" customWidth="1"/>
    <col min="4113" max="4113" width="3.85546875" style="40" customWidth="1"/>
    <col min="4114" max="4114" width="5.42578125" style="40" customWidth="1"/>
    <col min="4115" max="4115" width="3.85546875" style="40" customWidth="1"/>
    <col min="4116" max="4116" width="5.42578125" style="40" customWidth="1"/>
    <col min="4117" max="4117" width="3.85546875" style="40" customWidth="1"/>
    <col min="4118" max="4118" width="6.42578125" style="40" customWidth="1"/>
    <col min="4119" max="4119" width="3.85546875" style="40" customWidth="1"/>
    <col min="4120" max="4352" width="9.140625" style="40"/>
    <col min="4353" max="4353" width="19.7109375" style="40" customWidth="1"/>
    <col min="4354" max="4354" width="8.5703125" style="40" customWidth="1"/>
    <col min="4355" max="4355" width="16.140625" style="40" customWidth="1"/>
    <col min="4356" max="4356" width="7.5703125" style="40" customWidth="1"/>
    <col min="4357" max="4357" width="10.7109375" style="40" customWidth="1"/>
    <col min="4358" max="4358" width="5.42578125" style="40" customWidth="1"/>
    <col min="4359" max="4359" width="3.85546875" style="40" customWidth="1"/>
    <col min="4360" max="4360" width="5.42578125" style="40" customWidth="1"/>
    <col min="4361" max="4361" width="3.85546875" style="40" customWidth="1"/>
    <col min="4362" max="4362" width="5.42578125" style="40" customWidth="1"/>
    <col min="4363" max="4363" width="3.85546875" style="40" customWidth="1"/>
    <col min="4364" max="4364" width="5.42578125" style="40" customWidth="1"/>
    <col min="4365" max="4365" width="3.85546875" style="40" customWidth="1"/>
    <col min="4366" max="4366" width="5.42578125" style="40" customWidth="1"/>
    <col min="4367" max="4367" width="3.85546875" style="40" customWidth="1"/>
    <col min="4368" max="4368" width="5.42578125" style="40" customWidth="1"/>
    <col min="4369" max="4369" width="3.85546875" style="40" customWidth="1"/>
    <col min="4370" max="4370" width="5.42578125" style="40" customWidth="1"/>
    <col min="4371" max="4371" width="3.85546875" style="40" customWidth="1"/>
    <col min="4372" max="4372" width="5.42578125" style="40" customWidth="1"/>
    <col min="4373" max="4373" width="3.85546875" style="40" customWidth="1"/>
    <col min="4374" max="4374" width="6.42578125" style="40" customWidth="1"/>
    <col min="4375" max="4375" width="3.85546875" style="40" customWidth="1"/>
    <col min="4376" max="4608" width="9.140625" style="40"/>
    <col min="4609" max="4609" width="19.7109375" style="40" customWidth="1"/>
    <col min="4610" max="4610" width="8.5703125" style="40" customWidth="1"/>
    <col min="4611" max="4611" width="16.140625" style="40" customWidth="1"/>
    <col min="4612" max="4612" width="7.5703125" style="40" customWidth="1"/>
    <col min="4613" max="4613" width="10.7109375" style="40" customWidth="1"/>
    <col min="4614" max="4614" width="5.42578125" style="40" customWidth="1"/>
    <col min="4615" max="4615" width="3.85546875" style="40" customWidth="1"/>
    <col min="4616" max="4616" width="5.42578125" style="40" customWidth="1"/>
    <col min="4617" max="4617" width="3.85546875" style="40" customWidth="1"/>
    <col min="4618" max="4618" width="5.42578125" style="40" customWidth="1"/>
    <col min="4619" max="4619" width="3.85546875" style="40" customWidth="1"/>
    <col min="4620" max="4620" width="5.42578125" style="40" customWidth="1"/>
    <col min="4621" max="4621" width="3.85546875" style="40" customWidth="1"/>
    <col min="4622" max="4622" width="5.42578125" style="40" customWidth="1"/>
    <col min="4623" max="4623" width="3.85546875" style="40" customWidth="1"/>
    <col min="4624" max="4624" width="5.42578125" style="40" customWidth="1"/>
    <col min="4625" max="4625" width="3.85546875" style="40" customWidth="1"/>
    <col min="4626" max="4626" width="5.42578125" style="40" customWidth="1"/>
    <col min="4627" max="4627" width="3.85546875" style="40" customWidth="1"/>
    <col min="4628" max="4628" width="5.42578125" style="40" customWidth="1"/>
    <col min="4629" max="4629" width="3.85546875" style="40" customWidth="1"/>
    <col min="4630" max="4630" width="6.42578125" style="40" customWidth="1"/>
    <col min="4631" max="4631" width="3.85546875" style="40" customWidth="1"/>
    <col min="4632" max="4864" width="9.140625" style="40"/>
    <col min="4865" max="4865" width="19.7109375" style="40" customWidth="1"/>
    <col min="4866" max="4866" width="8.5703125" style="40" customWidth="1"/>
    <col min="4867" max="4867" width="16.140625" style="40" customWidth="1"/>
    <col min="4868" max="4868" width="7.5703125" style="40" customWidth="1"/>
    <col min="4869" max="4869" width="10.7109375" style="40" customWidth="1"/>
    <col min="4870" max="4870" width="5.42578125" style="40" customWidth="1"/>
    <col min="4871" max="4871" width="3.85546875" style="40" customWidth="1"/>
    <col min="4872" max="4872" width="5.42578125" style="40" customWidth="1"/>
    <col min="4873" max="4873" width="3.85546875" style="40" customWidth="1"/>
    <col min="4874" max="4874" width="5.42578125" style="40" customWidth="1"/>
    <col min="4875" max="4875" width="3.85546875" style="40" customWidth="1"/>
    <col min="4876" max="4876" width="5.42578125" style="40" customWidth="1"/>
    <col min="4877" max="4877" width="3.85546875" style="40" customWidth="1"/>
    <col min="4878" max="4878" width="5.42578125" style="40" customWidth="1"/>
    <col min="4879" max="4879" width="3.85546875" style="40" customWidth="1"/>
    <col min="4880" max="4880" width="5.42578125" style="40" customWidth="1"/>
    <col min="4881" max="4881" width="3.85546875" style="40" customWidth="1"/>
    <col min="4882" max="4882" width="5.42578125" style="40" customWidth="1"/>
    <col min="4883" max="4883" width="3.85546875" style="40" customWidth="1"/>
    <col min="4884" max="4884" width="5.42578125" style="40" customWidth="1"/>
    <col min="4885" max="4885" width="3.85546875" style="40" customWidth="1"/>
    <col min="4886" max="4886" width="6.42578125" style="40" customWidth="1"/>
    <col min="4887" max="4887" width="3.85546875" style="40" customWidth="1"/>
    <col min="4888" max="5120" width="9.140625" style="40"/>
    <col min="5121" max="5121" width="19.7109375" style="40" customWidth="1"/>
    <col min="5122" max="5122" width="8.5703125" style="40" customWidth="1"/>
    <col min="5123" max="5123" width="16.140625" style="40" customWidth="1"/>
    <col min="5124" max="5124" width="7.5703125" style="40" customWidth="1"/>
    <col min="5125" max="5125" width="10.7109375" style="40" customWidth="1"/>
    <col min="5126" max="5126" width="5.42578125" style="40" customWidth="1"/>
    <col min="5127" max="5127" width="3.85546875" style="40" customWidth="1"/>
    <col min="5128" max="5128" width="5.42578125" style="40" customWidth="1"/>
    <col min="5129" max="5129" width="3.85546875" style="40" customWidth="1"/>
    <col min="5130" max="5130" width="5.42578125" style="40" customWidth="1"/>
    <col min="5131" max="5131" width="3.85546875" style="40" customWidth="1"/>
    <col min="5132" max="5132" width="5.42578125" style="40" customWidth="1"/>
    <col min="5133" max="5133" width="3.85546875" style="40" customWidth="1"/>
    <col min="5134" max="5134" width="5.42578125" style="40" customWidth="1"/>
    <col min="5135" max="5135" width="3.85546875" style="40" customWidth="1"/>
    <col min="5136" max="5136" width="5.42578125" style="40" customWidth="1"/>
    <col min="5137" max="5137" width="3.85546875" style="40" customWidth="1"/>
    <col min="5138" max="5138" width="5.42578125" style="40" customWidth="1"/>
    <col min="5139" max="5139" width="3.85546875" style="40" customWidth="1"/>
    <col min="5140" max="5140" width="5.42578125" style="40" customWidth="1"/>
    <col min="5141" max="5141" width="3.85546875" style="40" customWidth="1"/>
    <col min="5142" max="5142" width="6.42578125" style="40" customWidth="1"/>
    <col min="5143" max="5143" width="3.85546875" style="40" customWidth="1"/>
    <col min="5144" max="5376" width="9.140625" style="40"/>
    <col min="5377" max="5377" width="19.7109375" style="40" customWidth="1"/>
    <col min="5378" max="5378" width="8.5703125" style="40" customWidth="1"/>
    <col min="5379" max="5379" width="16.140625" style="40" customWidth="1"/>
    <col min="5380" max="5380" width="7.5703125" style="40" customWidth="1"/>
    <col min="5381" max="5381" width="10.7109375" style="40" customWidth="1"/>
    <col min="5382" max="5382" width="5.42578125" style="40" customWidth="1"/>
    <col min="5383" max="5383" width="3.85546875" style="40" customWidth="1"/>
    <col min="5384" max="5384" width="5.42578125" style="40" customWidth="1"/>
    <col min="5385" max="5385" width="3.85546875" style="40" customWidth="1"/>
    <col min="5386" max="5386" width="5.42578125" style="40" customWidth="1"/>
    <col min="5387" max="5387" width="3.85546875" style="40" customWidth="1"/>
    <col min="5388" max="5388" width="5.42578125" style="40" customWidth="1"/>
    <col min="5389" max="5389" width="3.85546875" style="40" customWidth="1"/>
    <col min="5390" max="5390" width="5.42578125" style="40" customWidth="1"/>
    <col min="5391" max="5391" width="3.85546875" style="40" customWidth="1"/>
    <col min="5392" max="5392" width="5.42578125" style="40" customWidth="1"/>
    <col min="5393" max="5393" width="3.85546875" style="40" customWidth="1"/>
    <col min="5394" max="5394" width="5.42578125" style="40" customWidth="1"/>
    <col min="5395" max="5395" width="3.85546875" style="40" customWidth="1"/>
    <col min="5396" max="5396" width="5.42578125" style="40" customWidth="1"/>
    <col min="5397" max="5397" width="3.85546875" style="40" customWidth="1"/>
    <col min="5398" max="5398" width="6.42578125" style="40" customWidth="1"/>
    <col min="5399" max="5399" width="3.85546875" style="40" customWidth="1"/>
    <col min="5400" max="5632" width="9.140625" style="40"/>
    <col min="5633" max="5633" width="19.7109375" style="40" customWidth="1"/>
    <col min="5634" max="5634" width="8.5703125" style="40" customWidth="1"/>
    <col min="5635" max="5635" width="16.140625" style="40" customWidth="1"/>
    <col min="5636" max="5636" width="7.5703125" style="40" customWidth="1"/>
    <col min="5637" max="5637" width="10.7109375" style="40" customWidth="1"/>
    <col min="5638" max="5638" width="5.42578125" style="40" customWidth="1"/>
    <col min="5639" max="5639" width="3.85546875" style="40" customWidth="1"/>
    <col min="5640" max="5640" width="5.42578125" style="40" customWidth="1"/>
    <col min="5641" max="5641" width="3.85546875" style="40" customWidth="1"/>
    <col min="5642" max="5642" width="5.42578125" style="40" customWidth="1"/>
    <col min="5643" max="5643" width="3.85546875" style="40" customWidth="1"/>
    <col min="5644" max="5644" width="5.42578125" style="40" customWidth="1"/>
    <col min="5645" max="5645" width="3.85546875" style="40" customWidth="1"/>
    <col min="5646" max="5646" width="5.42578125" style="40" customWidth="1"/>
    <col min="5647" max="5647" width="3.85546875" style="40" customWidth="1"/>
    <col min="5648" max="5648" width="5.42578125" style="40" customWidth="1"/>
    <col min="5649" max="5649" width="3.85546875" style="40" customWidth="1"/>
    <col min="5650" max="5650" width="5.42578125" style="40" customWidth="1"/>
    <col min="5651" max="5651" width="3.85546875" style="40" customWidth="1"/>
    <col min="5652" max="5652" width="5.42578125" style="40" customWidth="1"/>
    <col min="5653" max="5653" width="3.85546875" style="40" customWidth="1"/>
    <col min="5654" max="5654" width="6.42578125" style="40" customWidth="1"/>
    <col min="5655" max="5655" width="3.85546875" style="40" customWidth="1"/>
    <col min="5656" max="5888" width="9.140625" style="40"/>
    <col min="5889" max="5889" width="19.7109375" style="40" customWidth="1"/>
    <col min="5890" max="5890" width="8.5703125" style="40" customWidth="1"/>
    <col min="5891" max="5891" width="16.140625" style="40" customWidth="1"/>
    <col min="5892" max="5892" width="7.5703125" style="40" customWidth="1"/>
    <col min="5893" max="5893" width="10.7109375" style="40" customWidth="1"/>
    <col min="5894" max="5894" width="5.42578125" style="40" customWidth="1"/>
    <col min="5895" max="5895" width="3.85546875" style="40" customWidth="1"/>
    <col min="5896" max="5896" width="5.42578125" style="40" customWidth="1"/>
    <col min="5897" max="5897" width="3.85546875" style="40" customWidth="1"/>
    <col min="5898" max="5898" width="5.42578125" style="40" customWidth="1"/>
    <col min="5899" max="5899" width="3.85546875" style="40" customWidth="1"/>
    <col min="5900" max="5900" width="5.42578125" style="40" customWidth="1"/>
    <col min="5901" max="5901" width="3.85546875" style="40" customWidth="1"/>
    <col min="5902" max="5902" width="5.42578125" style="40" customWidth="1"/>
    <col min="5903" max="5903" width="3.85546875" style="40" customWidth="1"/>
    <col min="5904" max="5904" width="5.42578125" style="40" customWidth="1"/>
    <col min="5905" max="5905" width="3.85546875" style="40" customWidth="1"/>
    <col min="5906" max="5906" width="5.42578125" style="40" customWidth="1"/>
    <col min="5907" max="5907" width="3.85546875" style="40" customWidth="1"/>
    <col min="5908" max="5908" width="5.42578125" style="40" customWidth="1"/>
    <col min="5909" max="5909" width="3.85546875" style="40" customWidth="1"/>
    <col min="5910" max="5910" width="6.42578125" style="40" customWidth="1"/>
    <col min="5911" max="5911" width="3.85546875" style="40" customWidth="1"/>
    <col min="5912" max="6144" width="9.140625" style="40"/>
    <col min="6145" max="6145" width="19.7109375" style="40" customWidth="1"/>
    <col min="6146" max="6146" width="8.5703125" style="40" customWidth="1"/>
    <col min="6147" max="6147" width="16.140625" style="40" customWidth="1"/>
    <col min="6148" max="6148" width="7.5703125" style="40" customWidth="1"/>
    <col min="6149" max="6149" width="10.7109375" style="40" customWidth="1"/>
    <col min="6150" max="6150" width="5.42578125" style="40" customWidth="1"/>
    <col min="6151" max="6151" width="3.85546875" style="40" customWidth="1"/>
    <col min="6152" max="6152" width="5.42578125" style="40" customWidth="1"/>
    <col min="6153" max="6153" width="3.85546875" style="40" customWidth="1"/>
    <col min="6154" max="6154" width="5.42578125" style="40" customWidth="1"/>
    <col min="6155" max="6155" width="3.85546875" style="40" customWidth="1"/>
    <col min="6156" max="6156" width="5.42578125" style="40" customWidth="1"/>
    <col min="6157" max="6157" width="3.85546875" style="40" customWidth="1"/>
    <col min="6158" max="6158" width="5.42578125" style="40" customWidth="1"/>
    <col min="6159" max="6159" width="3.85546875" style="40" customWidth="1"/>
    <col min="6160" max="6160" width="5.42578125" style="40" customWidth="1"/>
    <col min="6161" max="6161" width="3.85546875" style="40" customWidth="1"/>
    <col min="6162" max="6162" width="5.42578125" style="40" customWidth="1"/>
    <col min="6163" max="6163" width="3.85546875" style="40" customWidth="1"/>
    <col min="6164" max="6164" width="5.42578125" style="40" customWidth="1"/>
    <col min="6165" max="6165" width="3.85546875" style="40" customWidth="1"/>
    <col min="6166" max="6166" width="6.42578125" style="40" customWidth="1"/>
    <col min="6167" max="6167" width="3.85546875" style="40" customWidth="1"/>
    <col min="6168" max="6400" width="9.140625" style="40"/>
    <col min="6401" max="6401" width="19.7109375" style="40" customWidth="1"/>
    <col min="6402" max="6402" width="8.5703125" style="40" customWidth="1"/>
    <col min="6403" max="6403" width="16.140625" style="40" customWidth="1"/>
    <col min="6404" max="6404" width="7.5703125" style="40" customWidth="1"/>
    <col min="6405" max="6405" width="10.7109375" style="40" customWidth="1"/>
    <col min="6406" max="6406" width="5.42578125" style="40" customWidth="1"/>
    <col min="6407" max="6407" width="3.85546875" style="40" customWidth="1"/>
    <col min="6408" max="6408" width="5.42578125" style="40" customWidth="1"/>
    <col min="6409" max="6409" width="3.85546875" style="40" customWidth="1"/>
    <col min="6410" max="6410" width="5.42578125" style="40" customWidth="1"/>
    <col min="6411" max="6411" width="3.85546875" style="40" customWidth="1"/>
    <col min="6412" max="6412" width="5.42578125" style="40" customWidth="1"/>
    <col min="6413" max="6413" width="3.85546875" style="40" customWidth="1"/>
    <col min="6414" max="6414" width="5.42578125" style="40" customWidth="1"/>
    <col min="6415" max="6415" width="3.85546875" style="40" customWidth="1"/>
    <col min="6416" max="6416" width="5.42578125" style="40" customWidth="1"/>
    <col min="6417" max="6417" width="3.85546875" style="40" customWidth="1"/>
    <col min="6418" max="6418" width="5.42578125" style="40" customWidth="1"/>
    <col min="6419" max="6419" width="3.85546875" style="40" customWidth="1"/>
    <col min="6420" max="6420" width="5.42578125" style="40" customWidth="1"/>
    <col min="6421" max="6421" width="3.85546875" style="40" customWidth="1"/>
    <col min="6422" max="6422" width="6.42578125" style="40" customWidth="1"/>
    <col min="6423" max="6423" width="3.85546875" style="40" customWidth="1"/>
    <col min="6424" max="6656" width="9.140625" style="40"/>
    <col min="6657" max="6657" width="19.7109375" style="40" customWidth="1"/>
    <col min="6658" max="6658" width="8.5703125" style="40" customWidth="1"/>
    <col min="6659" max="6659" width="16.140625" style="40" customWidth="1"/>
    <col min="6660" max="6660" width="7.5703125" style="40" customWidth="1"/>
    <col min="6661" max="6661" width="10.7109375" style="40" customWidth="1"/>
    <col min="6662" max="6662" width="5.42578125" style="40" customWidth="1"/>
    <col min="6663" max="6663" width="3.85546875" style="40" customWidth="1"/>
    <col min="6664" max="6664" width="5.42578125" style="40" customWidth="1"/>
    <col min="6665" max="6665" width="3.85546875" style="40" customWidth="1"/>
    <col min="6666" max="6666" width="5.42578125" style="40" customWidth="1"/>
    <col min="6667" max="6667" width="3.85546875" style="40" customWidth="1"/>
    <col min="6668" max="6668" width="5.42578125" style="40" customWidth="1"/>
    <col min="6669" max="6669" width="3.85546875" style="40" customWidth="1"/>
    <col min="6670" max="6670" width="5.42578125" style="40" customWidth="1"/>
    <col min="6671" max="6671" width="3.85546875" style="40" customWidth="1"/>
    <col min="6672" max="6672" width="5.42578125" style="40" customWidth="1"/>
    <col min="6673" max="6673" width="3.85546875" style="40" customWidth="1"/>
    <col min="6674" max="6674" width="5.42578125" style="40" customWidth="1"/>
    <col min="6675" max="6675" width="3.85546875" style="40" customWidth="1"/>
    <col min="6676" max="6676" width="5.42578125" style="40" customWidth="1"/>
    <col min="6677" max="6677" width="3.85546875" style="40" customWidth="1"/>
    <col min="6678" max="6678" width="6.42578125" style="40" customWidth="1"/>
    <col min="6679" max="6679" width="3.85546875" style="40" customWidth="1"/>
    <col min="6680" max="6912" width="9.140625" style="40"/>
    <col min="6913" max="6913" width="19.7109375" style="40" customWidth="1"/>
    <col min="6914" max="6914" width="8.5703125" style="40" customWidth="1"/>
    <col min="6915" max="6915" width="16.140625" style="40" customWidth="1"/>
    <col min="6916" max="6916" width="7.5703125" style="40" customWidth="1"/>
    <col min="6917" max="6917" width="10.7109375" style="40" customWidth="1"/>
    <col min="6918" max="6918" width="5.42578125" style="40" customWidth="1"/>
    <col min="6919" max="6919" width="3.85546875" style="40" customWidth="1"/>
    <col min="6920" max="6920" width="5.42578125" style="40" customWidth="1"/>
    <col min="6921" max="6921" width="3.85546875" style="40" customWidth="1"/>
    <col min="6922" max="6922" width="5.42578125" style="40" customWidth="1"/>
    <col min="6923" max="6923" width="3.85546875" style="40" customWidth="1"/>
    <col min="6924" max="6924" width="5.42578125" style="40" customWidth="1"/>
    <col min="6925" max="6925" width="3.85546875" style="40" customWidth="1"/>
    <col min="6926" max="6926" width="5.42578125" style="40" customWidth="1"/>
    <col min="6927" max="6927" width="3.85546875" style="40" customWidth="1"/>
    <col min="6928" max="6928" width="5.42578125" style="40" customWidth="1"/>
    <col min="6929" max="6929" width="3.85546875" style="40" customWidth="1"/>
    <col min="6930" max="6930" width="5.42578125" style="40" customWidth="1"/>
    <col min="6931" max="6931" width="3.85546875" style="40" customWidth="1"/>
    <col min="6932" max="6932" width="5.42578125" style="40" customWidth="1"/>
    <col min="6933" max="6933" width="3.85546875" style="40" customWidth="1"/>
    <col min="6934" max="6934" width="6.42578125" style="40" customWidth="1"/>
    <col min="6935" max="6935" width="3.85546875" style="40" customWidth="1"/>
    <col min="6936" max="7168" width="9.140625" style="40"/>
    <col min="7169" max="7169" width="19.7109375" style="40" customWidth="1"/>
    <col min="7170" max="7170" width="8.5703125" style="40" customWidth="1"/>
    <col min="7171" max="7171" width="16.140625" style="40" customWidth="1"/>
    <col min="7172" max="7172" width="7.5703125" style="40" customWidth="1"/>
    <col min="7173" max="7173" width="10.7109375" style="40" customWidth="1"/>
    <col min="7174" max="7174" width="5.42578125" style="40" customWidth="1"/>
    <col min="7175" max="7175" width="3.85546875" style="40" customWidth="1"/>
    <col min="7176" max="7176" width="5.42578125" style="40" customWidth="1"/>
    <col min="7177" max="7177" width="3.85546875" style="40" customWidth="1"/>
    <col min="7178" max="7178" width="5.42578125" style="40" customWidth="1"/>
    <col min="7179" max="7179" width="3.85546875" style="40" customWidth="1"/>
    <col min="7180" max="7180" width="5.42578125" style="40" customWidth="1"/>
    <col min="7181" max="7181" width="3.85546875" style="40" customWidth="1"/>
    <col min="7182" max="7182" width="5.42578125" style="40" customWidth="1"/>
    <col min="7183" max="7183" width="3.85546875" style="40" customWidth="1"/>
    <col min="7184" max="7184" width="5.42578125" style="40" customWidth="1"/>
    <col min="7185" max="7185" width="3.85546875" style="40" customWidth="1"/>
    <col min="7186" max="7186" width="5.42578125" style="40" customWidth="1"/>
    <col min="7187" max="7187" width="3.85546875" style="40" customWidth="1"/>
    <col min="7188" max="7188" width="5.42578125" style="40" customWidth="1"/>
    <col min="7189" max="7189" width="3.85546875" style="40" customWidth="1"/>
    <col min="7190" max="7190" width="6.42578125" style="40" customWidth="1"/>
    <col min="7191" max="7191" width="3.85546875" style="40" customWidth="1"/>
    <col min="7192" max="7424" width="9.140625" style="40"/>
    <col min="7425" max="7425" width="19.7109375" style="40" customWidth="1"/>
    <col min="7426" max="7426" width="8.5703125" style="40" customWidth="1"/>
    <col min="7427" max="7427" width="16.140625" style="40" customWidth="1"/>
    <col min="7428" max="7428" width="7.5703125" style="40" customWidth="1"/>
    <col min="7429" max="7429" width="10.7109375" style="40" customWidth="1"/>
    <col min="7430" max="7430" width="5.42578125" style="40" customWidth="1"/>
    <col min="7431" max="7431" width="3.85546875" style="40" customWidth="1"/>
    <col min="7432" max="7432" width="5.42578125" style="40" customWidth="1"/>
    <col min="7433" max="7433" width="3.85546875" style="40" customWidth="1"/>
    <col min="7434" max="7434" width="5.42578125" style="40" customWidth="1"/>
    <col min="7435" max="7435" width="3.85546875" style="40" customWidth="1"/>
    <col min="7436" max="7436" width="5.42578125" style="40" customWidth="1"/>
    <col min="7437" max="7437" width="3.85546875" style="40" customWidth="1"/>
    <col min="7438" max="7438" width="5.42578125" style="40" customWidth="1"/>
    <col min="7439" max="7439" width="3.85546875" style="40" customWidth="1"/>
    <col min="7440" max="7440" width="5.42578125" style="40" customWidth="1"/>
    <col min="7441" max="7441" width="3.85546875" style="40" customWidth="1"/>
    <col min="7442" max="7442" width="5.42578125" style="40" customWidth="1"/>
    <col min="7443" max="7443" width="3.85546875" style="40" customWidth="1"/>
    <col min="7444" max="7444" width="5.42578125" style="40" customWidth="1"/>
    <col min="7445" max="7445" width="3.85546875" style="40" customWidth="1"/>
    <col min="7446" max="7446" width="6.42578125" style="40" customWidth="1"/>
    <col min="7447" max="7447" width="3.85546875" style="40" customWidth="1"/>
    <col min="7448" max="7680" width="9.140625" style="40"/>
    <col min="7681" max="7681" width="19.7109375" style="40" customWidth="1"/>
    <col min="7682" max="7682" width="8.5703125" style="40" customWidth="1"/>
    <col min="7683" max="7683" width="16.140625" style="40" customWidth="1"/>
    <col min="7684" max="7684" width="7.5703125" style="40" customWidth="1"/>
    <col min="7685" max="7685" width="10.7109375" style="40" customWidth="1"/>
    <col min="7686" max="7686" width="5.42578125" style="40" customWidth="1"/>
    <col min="7687" max="7687" width="3.85546875" style="40" customWidth="1"/>
    <col min="7688" max="7688" width="5.42578125" style="40" customWidth="1"/>
    <col min="7689" max="7689" width="3.85546875" style="40" customWidth="1"/>
    <col min="7690" max="7690" width="5.42578125" style="40" customWidth="1"/>
    <col min="7691" max="7691" width="3.85546875" style="40" customWidth="1"/>
    <col min="7692" max="7692" width="5.42578125" style="40" customWidth="1"/>
    <col min="7693" max="7693" width="3.85546875" style="40" customWidth="1"/>
    <col min="7694" max="7694" width="5.42578125" style="40" customWidth="1"/>
    <col min="7695" max="7695" width="3.85546875" style="40" customWidth="1"/>
    <col min="7696" max="7696" width="5.42578125" style="40" customWidth="1"/>
    <col min="7697" max="7697" width="3.85546875" style="40" customWidth="1"/>
    <col min="7698" max="7698" width="5.42578125" style="40" customWidth="1"/>
    <col min="7699" max="7699" width="3.85546875" style="40" customWidth="1"/>
    <col min="7700" max="7700" width="5.42578125" style="40" customWidth="1"/>
    <col min="7701" max="7701" width="3.85546875" style="40" customWidth="1"/>
    <col min="7702" max="7702" width="6.42578125" style="40" customWidth="1"/>
    <col min="7703" max="7703" width="3.85546875" style="40" customWidth="1"/>
    <col min="7704" max="7936" width="9.140625" style="40"/>
    <col min="7937" max="7937" width="19.7109375" style="40" customWidth="1"/>
    <col min="7938" max="7938" width="8.5703125" style="40" customWidth="1"/>
    <col min="7939" max="7939" width="16.140625" style="40" customWidth="1"/>
    <col min="7940" max="7940" width="7.5703125" style="40" customWidth="1"/>
    <col min="7941" max="7941" width="10.7109375" style="40" customWidth="1"/>
    <col min="7942" max="7942" width="5.42578125" style="40" customWidth="1"/>
    <col min="7943" max="7943" width="3.85546875" style="40" customWidth="1"/>
    <col min="7944" max="7944" width="5.42578125" style="40" customWidth="1"/>
    <col min="7945" max="7945" width="3.85546875" style="40" customWidth="1"/>
    <col min="7946" max="7946" width="5.42578125" style="40" customWidth="1"/>
    <col min="7947" max="7947" width="3.85546875" style="40" customWidth="1"/>
    <col min="7948" max="7948" width="5.42578125" style="40" customWidth="1"/>
    <col min="7949" max="7949" width="3.85546875" style="40" customWidth="1"/>
    <col min="7950" max="7950" width="5.42578125" style="40" customWidth="1"/>
    <col min="7951" max="7951" width="3.85546875" style="40" customWidth="1"/>
    <col min="7952" max="7952" width="5.42578125" style="40" customWidth="1"/>
    <col min="7953" max="7953" width="3.85546875" style="40" customWidth="1"/>
    <col min="7954" max="7954" width="5.42578125" style="40" customWidth="1"/>
    <col min="7955" max="7955" width="3.85546875" style="40" customWidth="1"/>
    <col min="7956" max="7956" width="5.42578125" style="40" customWidth="1"/>
    <col min="7957" max="7957" width="3.85546875" style="40" customWidth="1"/>
    <col min="7958" max="7958" width="6.42578125" style="40" customWidth="1"/>
    <col min="7959" max="7959" width="3.85546875" style="40" customWidth="1"/>
    <col min="7960" max="8192" width="9.140625" style="40"/>
    <col min="8193" max="8193" width="19.7109375" style="40" customWidth="1"/>
    <col min="8194" max="8194" width="8.5703125" style="40" customWidth="1"/>
    <col min="8195" max="8195" width="16.140625" style="40" customWidth="1"/>
    <col min="8196" max="8196" width="7.5703125" style="40" customWidth="1"/>
    <col min="8197" max="8197" width="10.7109375" style="40" customWidth="1"/>
    <col min="8198" max="8198" width="5.42578125" style="40" customWidth="1"/>
    <col min="8199" max="8199" width="3.85546875" style="40" customWidth="1"/>
    <col min="8200" max="8200" width="5.42578125" style="40" customWidth="1"/>
    <col min="8201" max="8201" width="3.85546875" style="40" customWidth="1"/>
    <col min="8202" max="8202" width="5.42578125" style="40" customWidth="1"/>
    <col min="8203" max="8203" width="3.85546875" style="40" customWidth="1"/>
    <col min="8204" max="8204" width="5.42578125" style="40" customWidth="1"/>
    <col min="8205" max="8205" width="3.85546875" style="40" customWidth="1"/>
    <col min="8206" max="8206" width="5.42578125" style="40" customWidth="1"/>
    <col min="8207" max="8207" width="3.85546875" style="40" customWidth="1"/>
    <col min="8208" max="8208" width="5.42578125" style="40" customWidth="1"/>
    <col min="8209" max="8209" width="3.85546875" style="40" customWidth="1"/>
    <col min="8210" max="8210" width="5.42578125" style="40" customWidth="1"/>
    <col min="8211" max="8211" width="3.85546875" style="40" customWidth="1"/>
    <col min="8212" max="8212" width="5.42578125" style="40" customWidth="1"/>
    <col min="8213" max="8213" width="3.85546875" style="40" customWidth="1"/>
    <col min="8214" max="8214" width="6.42578125" style="40" customWidth="1"/>
    <col min="8215" max="8215" width="3.85546875" style="40" customWidth="1"/>
    <col min="8216" max="8448" width="9.140625" style="40"/>
    <col min="8449" max="8449" width="19.7109375" style="40" customWidth="1"/>
    <col min="8450" max="8450" width="8.5703125" style="40" customWidth="1"/>
    <col min="8451" max="8451" width="16.140625" style="40" customWidth="1"/>
    <col min="8452" max="8452" width="7.5703125" style="40" customWidth="1"/>
    <col min="8453" max="8453" width="10.7109375" style="40" customWidth="1"/>
    <col min="8454" max="8454" width="5.42578125" style="40" customWidth="1"/>
    <col min="8455" max="8455" width="3.85546875" style="40" customWidth="1"/>
    <col min="8456" max="8456" width="5.42578125" style="40" customWidth="1"/>
    <col min="8457" max="8457" width="3.85546875" style="40" customWidth="1"/>
    <col min="8458" max="8458" width="5.42578125" style="40" customWidth="1"/>
    <col min="8459" max="8459" width="3.85546875" style="40" customWidth="1"/>
    <col min="8460" max="8460" width="5.42578125" style="40" customWidth="1"/>
    <col min="8461" max="8461" width="3.85546875" style="40" customWidth="1"/>
    <col min="8462" max="8462" width="5.42578125" style="40" customWidth="1"/>
    <col min="8463" max="8463" width="3.85546875" style="40" customWidth="1"/>
    <col min="8464" max="8464" width="5.42578125" style="40" customWidth="1"/>
    <col min="8465" max="8465" width="3.85546875" style="40" customWidth="1"/>
    <col min="8466" max="8466" width="5.42578125" style="40" customWidth="1"/>
    <col min="8467" max="8467" width="3.85546875" style="40" customWidth="1"/>
    <col min="8468" max="8468" width="5.42578125" style="40" customWidth="1"/>
    <col min="8469" max="8469" width="3.85546875" style="40" customWidth="1"/>
    <col min="8470" max="8470" width="6.42578125" style="40" customWidth="1"/>
    <col min="8471" max="8471" width="3.85546875" style="40" customWidth="1"/>
    <col min="8472" max="8704" width="9.140625" style="40"/>
    <col min="8705" max="8705" width="19.7109375" style="40" customWidth="1"/>
    <col min="8706" max="8706" width="8.5703125" style="40" customWidth="1"/>
    <col min="8707" max="8707" width="16.140625" style="40" customWidth="1"/>
    <col min="8708" max="8708" width="7.5703125" style="40" customWidth="1"/>
    <col min="8709" max="8709" width="10.7109375" style="40" customWidth="1"/>
    <col min="8710" max="8710" width="5.42578125" style="40" customWidth="1"/>
    <col min="8711" max="8711" width="3.85546875" style="40" customWidth="1"/>
    <col min="8712" max="8712" width="5.42578125" style="40" customWidth="1"/>
    <col min="8713" max="8713" width="3.85546875" style="40" customWidth="1"/>
    <col min="8714" max="8714" width="5.42578125" style="40" customWidth="1"/>
    <col min="8715" max="8715" width="3.85546875" style="40" customWidth="1"/>
    <col min="8716" max="8716" width="5.42578125" style="40" customWidth="1"/>
    <col min="8717" max="8717" width="3.85546875" style="40" customWidth="1"/>
    <col min="8718" max="8718" width="5.42578125" style="40" customWidth="1"/>
    <col min="8719" max="8719" width="3.85546875" style="40" customWidth="1"/>
    <col min="8720" max="8720" width="5.42578125" style="40" customWidth="1"/>
    <col min="8721" max="8721" width="3.85546875" style="40" customWidth="1"/>
    <col min="8722" max="8722" width="5.42578125" style="40" customWidth="1"/>
    <col min="8723" max="8723" width="3.85546875" style="40" customWidth="1"/>
    <col min="8724" max="8724" width="5.42578125" style="40" customWidth="1"/>
    <col min="8725" max="8725" width="3.85546875" style="40" customWidth="1"/>
    <col min="8726" max="8726" width="6.42578125" style="40" customWidth="1"/>
    <col min="8727" max="8727" width="3.85546875" style="40" customWidth="1"/>
    <col min="8728" max="8960" width="9.140625" style="40"/>
    <col min="8961" max="8961" width="19.7109375" style="40" customWidth="1"/>
    <col min="8962" max="8962" width="8.5703125" style="40" customWidth="1"/>
    <col min="8963" max="8963" width="16.140625" style="40" customWidth="1"/>
    <col min="8964" max="8964" width="7.5703125" style="40" customWidth="1"/>
    <col min="8965" max="8965" width="10.7109375" style="40" customWidth="1"/>
    <col min="8966" max="8966" width="5.42578125" style="40" customWidth="1"/>
    <col min="8967" max="8967" width="3.85546875" style="40" customWidth="1"/>
    <col min="8968" max="8968" width="5.42578125" style="40" customWidth="1"/>
    <col min="8969" max="8969" width="3.85546875" style="40" customWidth="1"/>
    <col min="8970" max="8970" width="5.42578125" style="40" customWidth="1"/>
    <col min="8971" max="8971" width="3.85546875" style="40" customWidth="1"/>
    <col min="8972" max="8972" width="5.42578125" style="40" customWidth="1"/>
    <col min="8973" max="8973" width="3.85546875" style="40" customWidth="1"/>
    <col min="8974" max="8974" width="5.42578125" style="40" customWidth="1"/>
    <col min="8975" max="8975" width="3.85546875" style="40" customWidth="1"/>
    <col min="8976" max="8976" width="5.42578125" style="40" customWidth="1"/>
    <col min="8977" max="8977" width="3.85546875" style="40" customWidth="1"/>
    <col min="8978" max="8978" width="5.42578125" style="40" customWidth="1"/>
    <col min="8979" max="8979" width="3.85546875" style="40" customWidth="1"/>
    <col min="8980" max="8980" width="5.42578125" style="40" customWidth="1"/>
    <col min="8981" max="8981" width="3.85546875" style="40" customWidth="1"/>
    <col min="8982" max="8982" width="6.42578125" style="40" customWidth="1"/>
    <col min="8983" max="8983" width="3.85546875" style="40" customWidth="1"/>
    <col min="8984" max="9216" width="9.140625" style="40"/>
    <col min="9217" max="9217" width="19.7109375" style="40" customWidth="1"/>
    <col min="9218" max="9218" width="8.5703125" style="40" customWidth="1"/>
    <col min="9219" max="9219" width="16.140625" style="40" customWidth="1"/>
    <col min="9220" max="9220" width="7.5703125" style="40" customWidth="1"/>
    <col min="9221" max="9221" width="10.7109375" style="40" customWidth="1"/>
    <col min="9222" max="9222" width="5.42578125" style="40" customWidth="1"/>
    <col min="9223" max="9223" width="3.85546875" style="40" customWidth="1"/>
    <col min="9224" max="9224" width="5.42578125" style="40" customWidth="1"/>
    <col min="9225" max="9225" width="3.85546875" style="40" customWidth="1"/>
    <col min="9226" max="9226" width="5.42578125" style="40" customWidth="1"/>
    <col min="9227" max="9227" width="3.85546875" style="40" customWidth="1"/>
    <col min="9228" max="9228" width="5.42578125" style="40" customWidth="1"/>
    <col min="9229" max="9229" width="3.85546875" style="40" customWidth="1"/>
    <col min="9230" max="9230" width="5.42578125" style="40" customWidth="1"/>
    <col min="9231" max="9231" width="3.85546875" style="40" customWidth="1"/>
    <col min="9232" max="9232" width="5.42578125" style="40" customWidth="1"/>
    <col min="9233" max="9233" width="3.85546875" style="40" customWidth="1"/>
    <col min="9234" max="9234" width="5.42578125" style="40" customWidth="1"/>
    <col min="9235" max="9235" width="3.85546875" style="40" customWidth="1"/>
    <col min="9236" max="9236" width="5.42578125" style="40" customWidth="1"/>
    <col min="9237" max="9237" width="3.85546875" style="40" customWidth="1"/>
    <col min="9238" max="9238" width="6.42578125" style="40" customWidth="1"/>
    <col min="9239" max="9239" width="3.85546875" style="40" customWidth="1"/>
    <col min="9240" max="9472" width="9.140625" style="40"/>
    <col min="9473" max="9473" width="19.7109375" style="40" customWidth="1"/>
    <col min="9474" max="9474" width="8.5703125" style="40" customWidth="1"/>
    <col min="9475" max="9475" width="16.140625" style="40" customWidth="1"/>
    <col min="9476" max="9476" width="7.5703125" style="40" customWidth="1"/>
    <col min="9477" max="9477" width="10.7109375" style="40" customWidth="1"/>
    <col min="9478" max="9478" width="5.42578125" style="40" customWidth="1"/>
    <col min="9479" max="9479" width="3.85546875" style="40" customWidth="1"/>
    <col min="9480" max="9480" width="5.42578125" style="40" customWidth="1"/>
    <col min="9481" max="9481" width="3.85546875" style="40" customWidth="1"/>
    <col min="9482" max="9482" width="5.42578125" style="40" customWidth="1"/>
    <col min="9483" max="9483" width="3.85546875" style="40" customWidth="1"/>
    <col min="9484" max="9484" width="5.42578125" style="40" customWidth="1"/>
    <col min="9485" max="9485" width="3.85546875" style="40" customWidth="1"/>
    <col min="9486" max="9486" width="5.42578125" style="40" customWidth="1"/>
    <col min="9487" max="9487" width="3.85546875" style="40" customWidth="1"/>
    <col min="9488" max="9488" width="5.42578125" style="40" customWidth="1"/>
    <col min="9489" max="9489" width="3.85546875" style="40" customWidth="1"/>
    <col min="9490" max="9490" width="5.42578125" style="40" customWidth="1"/>
    <col min="9491" max="9491" width="3.85546875" style="40" customWidth="1"/>
    <col min="9492" max="9492" width="5.42578125" style="40" customWidth="1"/>
    <col min="9493" max="9493" width="3.85546875" style="40" customWidth="1"/>
    <col min="9494" max="9494" width="6.42578125" style="40" customWidth="1"/>
    <col min="9495" max="9495" width="3.85546875" style="40" customWidth="1"/>
    <col min="9496" max="9728" width="9.140625" style="40"/>
    <col min="9729" max="9729" width="19.7109375" style="40" customWidth="1"/>
    <col min="9730" max="9730" width="8.5703125" style="40" customWidth="1"/>
    <col min="9731" max="9731" width="16.140625" style="40" customWidth="1"/>
    <col min="9732" max="9732" width="7.5703125" style="40" customWidth="1"/>
    <col min="9733" max="9733" width="10.7109375" style="40" customWidth="1"/>
    <col min="9734" max="9734" width="5.42578125" style="40" customWidth="1"/>
    <col min="9735" max="9735" width="3.85546875" style="40" customWidth="1"/>
    <col min="9736" max="9736" width="5.42578125" style="40" customWidth="1"/>
    <col min="9737" max="9737" width="3.85546875" style="40" customWidth="1"/>
    <col min="9738" max="9738" width="5.42578125" style="40" customWidth="1"/>
    <col min="9739" max="9739" width="3.85546875" style="40" customWidth="1"/>
    <col min="9740" max="9740" width="5.42578125" style="40" customWidth="1"/>
    <col min="9741" max="9741" width="3.85546875" style="40" customWidth="1"/>
    <col min="9742" max="9742" width="5.42578125" style="40" customWidth="1"/>
    <col min="9743" max="9743" width="3.85546875" style="40" customWidth="1"/>
    <col min="9744" max="9744" width="5.42578125" style="40" customWidth="1"/>
    <col min="9745" max="9745" width="3.85546875" style="40" customWidth="1"/>
    <col min="9746" max="9746" width="5.42578125" style="40" customWidth="1"/>
    <col min="9747" max="9747" width="3.85546875" style="40" customWidth="1"/>
    <col min="9748" max="9748" width="5.42578125" style="40" customWidth="1"/>
    <col min="9749" max="9749" width="3.85546875" style="40" customWidth="1"/>
    <col min="9750" max="9750" width="6.42578125" style="40" customWidth="1"/>
    <col min="9751" max="9751" width="3.85546875" style="40" customWidth="1"/>
    <col min="9752" max="9984" width="9.140625" style="40"/>
    <col min="9985" max="9985" width="19.7109375" style="40" customWidth="1"/>
    <col min="9986" max="9986" width="8.5703125" style="40" customWidth="1"/>
    <col min="9987" max="9987" width="16.140625" style="40" customWidth="1"/>
    <col min="9988" max="9988" width="7.5703125" style="40" customWidth="1"/>
    <col min="9989" max="9989" width="10.7109375" style="40" customWidth="1"/>
    <col min="9990" max="9990" width="5.42578125" style="40" customWidth="1"/>
    <col min="9991" max="9991" width="3.85546875" style="40" customWidth="1"/>
    <col min="9992" max="9992" width="5.42578125" style="40" customWidth="1"/>
    <col min="9993" max="9993" width="3.85546875" style="40" customWidth="1"/>
    <col min="9994" max="9994" width="5.42578125" style="40" customWidth="1"/>
    <col min="9995" max="9995" width="3.85546875" style="40" customWidth="1"/>
    <col min="9996" max="9996" width="5.42578125" style="40" customWidth="1"/>
    <col min="9997" max="9997" width="3.85546875" style="40" customWidth="1"/>
    <col min="9998" max="9998" width="5.42578125" style="40" customWidth="1"/>
    <col min="9999" max="9999" width="3.85546875" style="40" customWidth="1"/>
    <col min="10000" max="10000" width="5.42578125" style="40" customWidth="1"/>
    <col min="10001" max="10001" width="3.85546875" style="40" customWidth="1"/>
    <col min="10002" max="10002" width="5.42578125" style="40" customWidth="1"/>
    <col min="10003" max="10003" width="3.85546875" style="40" customWidth="1"/>
    <col min="10004" max="10004" width="5.42578125" style="40" customWidth="1"/>
    <col min="10005" max="10005" width="3.85546875" style="40" customWidth="1"/>
    <col min="10006" max="10006" width="6.42578125" style="40" customWidth="1"/>
    <col min="10007" max="10007" width="3.85546875" style="40" customWidth="1"/>
    <col min="10008" max="10240" width="9.140625" style="40"/>
    <col min="10241" max="10241" width="19.7109375" style="40" customWidth="1"/>
    <col min="10242" max="10242" width="8.5703125" style="40" customWidth="1"/>
    <col min="10243" max="10243" width="16.140625" style="40" customWidth="1"/>
    <col min="10244" max="10244" width="7.5703125" style="40" customWidth="1"/>
    <col min="10245" max="10245" width="10.7109375" style="40" customWidth="1"/>
    <col min="10246" max="10246" width="5.42578125" style="40" customWidth="1"/>
    <col min="10247" max="10247" width="3.85546875" style="40" customWidth="1"/>
    <col min="10248" max="10248" width="5.42578125" style="40" customWidth="1"/>
    <col min="10249" max="10249" width="3.85546875" style="40" customWidth="1"/>
    <col min="10250" max="10250" width="5.42578125" style="40" customWidth="1"/>
    <col min="10251" max="10251" width="3.85546875" style="40" customWidth="1"/>
    <col min="10252" max="10252" width="5.42578125" style="40" customWidth="1"/>
    <col min="10253" max="10253" width="3.85546875" style="40" customWidth="1"/>
    <col min="10254" max="10254" width="5.42578125" style="40" customWidth="1"/>
    <col min="10255" max="10255" width="3.85546875" style="40" customWidth="1"/>
    <col min="10256" max="10256" width="5.42578125" style="40" customWidth="1"/>
    <col min="10257" max="10257" width="3.85546875" style="40" customWidth="1"/>
    <col min="10258" max="10258" width="5.42578125" style="40" customWidth="1"/>
    <col min="10259" max="10259" width="3.85546875" style="40" customWidth="1"/>
    <col min="10260" max="10260" width="5.42578125" style="40" customWidth="1"/>
    <col min="10261" max="10261" width="3.85546875" style="40" customWidth="1"/>
    <col min="10262" max="10262" width="6.42578125" style="40" customWidth="1"/>
    <col min="10263" max="10263" width="3.85546875" style="40" customWidth="1"/>
    <col min="10264" max="10496" width="9.140625" style="40"/>
    <col min="10497" max="10497" width="19.7109375" style="40" customWidth="1"/>
    <col min="10498" max="10498" width="8.5703125" style="40" customWidth="1"/>
    <col min="10499" max="10499" width="16.140625" style="40" customWidth="1"/>
    <col min="10500" max="10500" width="7.5703125" style="40" customWidth="1"/>
    <col min="10501" max="10501" width="10.7109375" style="40" customWidth="1"/>
    <col min="10502" max="10502" width="5.42578125" style="40" customWidth="1"/>
    <col min="10503" max="10503" width="3.85546875" style="40" customWidth="1"/>
    <col min="10504" max="10504" width="5.42578125" style="40" customWidth="1"/>
    <col min="10505" max="10505" width="3.85546875" style="40" customWidth="1"/>
    <col min="10506" max="10506" width="5.42578125" style="40" customWidth="1"/>
    <col min="10507" max="10507" width="3.85546875" style="40" customWidth="1"/>
    <col min="10508" max="10508" width="5.42578125" style="40" customWidth="1"/>
    <col min="10509" max="10509" width="3.85546875" style="40" customWidth="1"/>
    <col min="10510" max="10510" width="5.42578125" style="40" customWidth="1"/>
    <col min="10511" max="10511" width="3.85546875" style="40" customWidth="1"/>
    <col min="10512" max="10512" width="5.42578125" style="40" customWidth="1"/>
    <col min="10513" max="10513" width="3.85546875" style="40" customWidth="1"/>
    <col min="10514" max="10514" width="5.42578125" style="40" customWidth="1"/>
    <col min="10515" max="10515" width="3.85546875" style="40" customWidth="1"/>
    <col min="10516" max="10516" width="5.42578125" style="40" customWidth="1"/>
    <col min="10517" max="10517" width="3.85546875" style="40" customWidth="1"/>
    <col min="10518" max="10518" width="6.42578125" style="40" customWidth="1"/>
    <col min="10519" max="10519" width="3.85546875" style="40" customWidth="1"/>
    <col min="10520" max="10752" width="9.140625" style="40"/>
    <col min="10753" max="10753" width="19.7109375" style="40" customWidth="1"/>
    <col min="10754" max="10754" width="8.5703125" style="40" customWidth="1"/>
    <col min="10755" max="10755" width="16.140625" style="40" customWidth="1"/>
    <col min="10756" max="10756" width="7.5703125" style="40" customWidth="1"/>
    <col min="10757" max="10757" width="10.7109375" style="40" customWidth="1"/>
    <col min="10758" max="10758" width="5.42578125" style="40" customWidth="1"/>
    <col min="10759" max="10759" width="3.85546875" style="40" customWidth="1"/>
    <col min="10760" max="10760" width="5.42578125" style="40" customWidth="1"/>
    <col min="10761" max="10761" width="3.85546875" style="40" customWidth="1"/>
    <col min="10762" max="10762" width="5.42578125" style="40" customWidth="1"/>
    <col min="10763" max="10763" width="3.85546875" style="40" customWidth="1"/>
    <col min="10764" max="10764" width="5.42578125" style="40" customWidth="1"/>
    <col min="10765" max="10765" width="3.85546875" style="40" customWidth="1"/>
    <col min="10766" max="10766" width="5.42578125" style="40" customWidth="1"/>
    <col min="10767" max="10767" width="3.85546875" style="40" customWidth="1"/>
    <col min="10768" max="10768" width="5.42578125" style="40" customWidth="1"/>
    <col min="10769" max="10769" width="3.85546875" style="40" customWidth="1"/>
    <col min="10770" max="10770" width="5.42578125" style="40" customWidth="1"/>
    <col min="10771" max="10771" width="3.85546875" style="40" customWidth="1"/>
    <col min="10772" max="10772" width="5.42578125" style="40" customWidth="1"/>
    <col min="10773" max="10773" width="3.85546875" style="40" customWidth="1"/>
    <col min="10774" max="10774" width="6.42578125" style="40" customWidth="1"/>
    <col min="10775" max="10775" width="3.85546875" style="40" customWidth="1"/>
    <col min="10776" max="11008" width="9.140625" style="40"/>
    <col min="11009" max="11009" width="19.7109375" style="40" customWidth="1"/>
    <col min="11010" max="11010" width="8.5703125" style="40" customWidth="1"/>
    <col min="11011" max="11011" width="16.140625" style="40" customWidth="1"/>
    <col min="11012" max="11012" width="7.5703125" style="40" customWidth="1"/>
    <col min="11013" max="11013" width="10.7109375" style="40" customWidth="1"/>
    <col min="11014" max="11014" width="5.42578125" style="40" customWidth="1"/>
    <col min="11015" max="11015" width="3.85546875" style="40" customWidth="1"/>
    <col min="11016" max="11016" width="5.42578125" style="40" customWidth="1"/>
    <col min="11017" max="11017" width="3.85546875" style="40" customWidth="1"/>
    <col min="11018" max="11018" width="5.42578125" style="40" customWidth="1"/>
    <col min="11019" max="11019" width="3.85546875" style="40" customWidth="1"/>
    <col min="11020" max="11020" width="5.42578125" style="40" customWidth="1"/>
    <col min="11021" max="11021" width="3.85546875" style="40" customWidth="1"/>
    <col min="11022" max="11022" width="5.42578125" style="40" customWidth="1"/>
    <col min="11023" max="11023" width="3.85546875" style="40" customWidth="1"/>
    <col min="11024" max="11024" width="5.42578125" style="40" customWidth="1"/>
    <col min="11025" max="11025" width="3.85546875" style="40" customWidth="1"/>
    <col min="11026" max="11026" width="5.42578125" style="40" customWidth="1"/>
    <col min="11027" max="11027" width="3.85546875" style="40" customWidth="1"/>
    <col min="11028" max="11028" width="5.42578125" style="40" customWidth="1"/>
    <col min="11029" max="11029" width="3.85546875" style="40" customWidth="1"/>
    <col min="11030" max="11030" width="6.42578125" style="40" customWidth="1"/>
    <col min="11031" max="11031" width="3.85546875" style="40" customWidth="1"/>
    <col min="11032" max="11264" width="9.140625" style="40"/>
    <col min="11265" max="11265" width="19.7109375" style="40" customWidth="1"/>
    <col min="11266" max="11266" width="8.5703125" style="40" customWidth="1"/>
    <col min="11267" max="11267" width="16.140625" style="40" customWidth="1"/>
    <col min="11268" max="11268" width="7.5703125" style="40" customWidth="1"/>
    <col min="11269" max="11269" width="10.7109375" style="40" customWidth="1"/>
    <col min="11270" max="11270" width="5.42578125" style="40" customWidth="1"/>
    <col min="11271" max="11271" width="3.85546875" style="40" customWidth="1"/>
    <col min="11272" max="11272" width="5.42578125" style="40" customWidth="1"/>
    <col min="11273" max="11273" width="3.85546875" style="40" customWidth="1"/>
    <col min="11274" max="11274" width="5.42578125" style="40" customWidth="1"/>
    <col min="11275" max="11275" width="3.85546875" style="40" customWidth="1"/>
    <col min="11276" max="11276" width="5.42578125" style="40" customWidth="1"/>
    <col min="11277" max="11277" width="3.85546875" style="40" customWidth="1"/>
    <col min="11278" max="11278" width="5.42578125" style="40" customWidth="1"/>
    <col min="11279" max="11279" width="3.85546875" style="40" customWidth="1"/>
    <col min="11280" max="11280" width="5.42578125" style="40" customWidth="1"/>
    <col min="11281" max="11281" width="3.85546875" style="40" customWidth="1"/>
    <col min="11282" max="11282" width="5.42578125" style="40" customWidth="1"/>
    <col min="11283" max="11283" width="3.85546875" style="40" customWidth="1"/>
    <col min="11284" max="11284" width="5.42578125" style="40" customWidth="1"/>
    <col min="11285" max="11285" width="3.85546875" style="40" customWidth="1"/>
    <col min="11286" max="11286" width="6.42578125" style="40" customWidth="1"/>
    <col min="11287" max="11287" width="3.85546875" style="40" customWidth="1"/>
    <col min="11288" max="11520" width="9.140625" style="40"/>
    <col min="11521" max="11521" width="19.7109375" style="40" customWidth="1"/>
    <col min="11522" max="11522" width="8.5703125" style="40" customWidth="1"/>
    <col min="11523" max="11523" width="16.140625" style="40" customWidth="1"/>
    <col min="11524" max="11524" width="7.5703125" style="40" customWidth="1"/>
    <col min="11525" max="11525" width="10.7109375" style="40" customWidth="1"/>
    <col min="11526" max="11526" width="5.42578125" style="40" customWidth="1"/>
    <col min="11527" max="11527" width="3.85546875" style="40" customWidth="1"/>
    <col min="11528" max="11528" width="5.42578125" style="40" customWidth="1"/>
    <col min="11529" max="11529" width="3.85546875" style="40" customWidth="1"/>
    <col min="11530" max="11530" width="5.42578125" style="40" customWidth="1"/>
    <col min="11531" max="11531" width="3.85546875" style="40" customWidth="1"/>
    <col min="11532" max="11532" width="5.42578125" style="40" customWidth="1"/>
    <col min="11533" max="11533" width="3.85546875" style="40" customWidth="1"/>
    <col min="11534" max="11534" width="5.42578125" style="40" customWidth="1"/>
    <col min="11535" max="11535" width="3.85546875" style="40" customWidth="1"/>
    <col min="11536" max="11536" width="5.42578125" style="40" customWidth="1"/>
    <col min="11537" max="11537" width="3.85546875" style="40" customWidth="1"/>
    <col min="11538" max="11538" width="5.42578125" style="40" customWidth="1"/>
    <col min="11539" max="11539" width="3.85546875" style="40" customWidth="1"/>
    <col min="11540" max="11540" width="5.42578125" style="40" customWidth="1"/>
    <col min="11541" max="11541" width="3.85546875" style="40" customWidth="1"/>
    <col min="11542" max="11542" width="6.42578125" style="40" customWidth="1"/>
    <col min="11543" max="11543" width="3.85546875" style="40" customWidth="1"/>
    <col min="11544" max="11776" width="9.140625" style="40"/>
    <col min="11777" max="11777" width="19.7109375" style="40" customWidth="1"/>
    <col min="11778" max="11778" width="8.5703125" style="40" customWidth="1"/>
    <col min="11779" max="11779" width="16.140625" style="40" customWidth="1"/>
    <col min="11780" max="11780" width="7.5703125" style="40" customWidth="1"/>
    <col min="11781" max="11781" width="10.7109375" style="40" customWidth="1"/>
    <col min="11782" max="11782" width="5.42578125" style="40" customWidth="1"/>
    <col min="11783" max="11783" width="3.85546875" style="40" customWidth="1"/>
    <col min="11784" max="11784" width="5.42578125" style="40" customWidth="1"/>
    <col min="11785" max="11785" width="3.85546875" style="40" customWidth="1"/>
    <col min="11786" max="11786" width="5.42578125" style="40" customWidth="1"/>
    <col min="11787" max="11787" width="3.85546875" style="40" customWidth="1"/>
    <col min="11788" max="11788" width="5.42578125" style="40" customWidth="1"/>
    <col min="11789" max="11789" width="3.85546875" style="40" customWidth="1"/>
    <col min="11790" max="11790" width="5.42578125" style="40" customWidth="1"/>
    <col min="11791" max="11791" width="3.85546875" style="40" customWidth="1"/>
    <col min="11792" max="11792" width="5.42578125" style="40" customWidth="1"/>
    <col min="11793" max="11793" width="3.85546875" style="40" customWidth="1"/>
    <col min="11794" max="11794" width="5.42578125" style="40" customWidth="1"/>
    <col min="11795" max="11795" width="3.85546875" style="40" customWidth="1"/>
    <col min="11796" max="11796" width="5.42578125" style="40" customWidth="1"/>
    <col min="11797" max="11797" width="3.85546875" style="40" customWidth="1"/>
    <col min="11798" max="11798" width="6.42578125" style="40" customWidth="1"/>
    <col min="11799" max="11799" width="3.85546875" style="40" customWidth="1"/>
    <col min="11800" max="12032" width="9.140625" style="40"/>
    <col min="12033" max="12033" width="19.7109375" style="40" customWidth="1"/>
    <col min="12034" max="12034" width="8.5703125" style="40" customWidth="1"/>
    <col min="12035" max="12035" width="16.140625" style="40" customWidth="1"/>
    <col min="12036" max="12036" width="7.5703125" style="40" customWidth="1"/>
    <col min="12037" max="12037" width="10.7109375" style="40" customWidth="1"/>
    <col min="12038" max="12038" width="5.42578125" style="40" customWidth="1"/>
    <col min="12039" max="12039" width="3.85546875" style="40" customWidth="1"/>
    <col min="12040" max="12040" width="5.42578125" style="40" customWidth="1"/>
    <col min="12041" max="12041" width="3.85546875" style="40" customWidth="1"/>
    <col min="12042" max="12042" width="5.42578125" style="40" customWidth="1"/>
    <col min="12043" max="12043" width="3.85546875" style="40" customWidth="1"/>
    <col min="12044" max="12044" width="5.42578125" style="40" customWidth="1"/>
    <col min="12045" max="12045" width="3.85546875" style="40" customWidth="1"/>
    <col min="12046" max="12046" width="5.42578125" style="40" customWidth="1"/>
    <col min="12047" max="12047" width="3.85546875" style="40" customWidth="1"/>
    <col min="12048" max="12048" width="5.42578125" style="40" customWidth="1"/>
    <col min="12049" max="12049" width="3.85546875" style="40" customWidth="1"/>
    <col min="12050" max="12050" width="5.42578125" style="40" customWidth="1"/>
    <col min="12051" max="12051" width="3.85546875" style="40" customWidth="1"/>
    <col min="12052" max="12052" width="5.42578125" style="40" customWidth="1"/>
    <col min="12053" max="12053" width="3.85546875" style="40" customWidth="1"/>
    <col min="12054" max="12054" width="6.42578125" style="40" customWidth="1"/>
    <col min="12055" max="12055" width="3.85546875" style="40" customWidth="1"/>
    <col min="12056" max="12288" width="9.140625" style="40"/>
    <col min="12289" max="12289" width="19.7109375" style="40" customWidth="1"/>
    <col min="12290" max="12290" width="8.5703125" style="40" customWidth="1"/>
    <col min="12291" max="12291" width="16.140625" style="40" customWidth="1"/>
    <col min="12292" max="12292" width="7.5703125" style="40" customWidth="1"/>
    <col min="12293" max="12293" width="10.7109375" style="40" customWidth="1"/>
    <col min="12294" max="12294" width="5.42578125" style="40" customWidth="1"/>
    <col min="12295" max="12295" width="3.85546875" style="40" customWidth="1"/>
    <col min="12296" max="12296" width="5.42578125" style="40" customWidth="1"/>
    <col min="12297" max="12297" width="3.85546875" style="40" customWidth="1"/>
    <col min="12298" max="12298" width="5.42578125" style="40" customWidth="1"/>
    <col min="12299" max="12299" width="3.85546875" style="40" customWidth="1"/>
    <col min="12300" max="12300" width="5.42578125" style="40" customWidth="1"/>
    <col min="12301" max="12301" width="3.85546875" style="40" customWidth="1"/>
    <col min="12302" max="12302" width="5.42578125" style="40" customWidth="1"/>
    <col min="12303" max="12303" width="3.85546875" style="40" customWidth="1"/>
    <col min="12304" max="12304" width="5.42578125" style="40" customWidth="1"/>
    <col min="12305" max="12305" width="3.85546875" style="40" customWidth="1"/>
    <col min="12306" max="12306" width="5.42578125" style="40" customWidth="1"/>
    <col min="12307" max="12307" width="3.85546875" style="40" customWidth="1"/>
    <col min="12308" max="12308" width="5.42578125" style="40" customWidth="1"/>
    <col min="12309" max="12309" width="3.85546875" style="40" customWidth="1"/>
    <col min="12310" max="12310" width="6.42578125" style="40" customWidth="1"/>
    <col min="12311" max="12311" width="3.85546875" style="40" customWidth="1"/>
    <col min="12312" max="12544" width="9.140625" style="40"/>
    <col min="12545" max="12545" width="19.7109375" style="40" customWidth="1"/>
    <col min="12546" max="12546" width="8.5703125" style="40" customWidth="1"/>
    <col min="12547" max="12547" width="16.140625" style="40" customWidth="1"/>
    <col min="12548" max="12548" width="7.5703125" style="40" customWidth="1"/>
    <col min="12549" max="12549" width="10.7109375" style="40" customWidth="1"/>
    <col min="12550" max="12550" width="5.42578125" style="40" customWidth="1"/>
    <col min="12551" max="12551" width="3.85546875" style="40" customWidth="1"/>
    <col min="12552" max="12552" width="5.42578125" style="40" customWidth="1"/>
    <col min="12553" max="12553" width="3.85546875" style="40" customWidth="1"/>
    <col min="12554" max="12554" width="5.42578125" style="40" customWidth="1"/>
    <col min="12555" max="12555" width="3.85546875" style="40" customWidth="1"/>
    <col min="12556" max="12556" width="5.42578125" style="40" customWidth="1"/>
    <col min="12557" max="12557" width="3.85546875" style="40" customWidth="1"/>
    <col min="12558" max="12558" width="5.42578125" style="40" customWidth="1"/>
    <col min="12559" max="12559" width="3.85546875" style="40" customWidth="1"/>
    <col min="12560" max="12560" width="5.42578125" style="40" customWidth="1"/>
    <col min="12561" max="12561" width="3.85546875" style="40" customWidth="1"/>
    <col min="12562" max="12562" width="5.42578125" style="40" customWidth="1"/>
    <col min="12563" max="12563" width="3.85546875" style="40" customWidth="1"/>
    <col min="12564" max="12564" width="5.42578125" style="40" customWidth="1"/>
    <col min="12565" max="12565" width="3.85546875" style="40" customWidth="1"/>
    <col min="12566" max="12566" width="6.42578125" style="40" customWidth="1"/>
    <col min="12567" max="12567" width="3.85546875" style="40" customWidth="1"/>
    <col min="12568" max="12800" width="9.140625" style="40"/>
    <col min="12801" max="12801" width="19.7109375" style="40" customWidth="1"/>
    <col min="12802" max="12802" width="8.5703125" style="40" customWidth="1"/>
    <col min="12803" max="12803" width="16.140625" style="40" customWidth="1"/>
    <col min="12804" max="12804" width="7.5703125" style="40" customWidth="1"/>
    <col min="12805" max="12805" width="10.7109375" style="40" customWidth="1"/>
    <col min="12806" max="12806" width="5.42578125" style="40" customWidth="1"/>
    <col min="12807" max="12807" width="3.85546875" style="40" customWidth="1"/>
    <col min="12808" max="12808" width="5.42578125" style="40" customWidth="1"/>
    <col min="12809" max="12809" width="3.85546875" style="40" customWidth="1"/>
    <col min="12810" max="12810" width="5.42578125" style="40" customWidth="1"/>
    <col min="12811" max="12811" width="3.85546875" style="40" customWidth="1"/>
    <col min="12812" max="12812" width="5.42578125" style="40" customWidth="1"/>
    <col min="12813" max="12813" width="3.85546875" style="40" customWidth="1"/>
    <col min="12814" max="12814" width="5.42578125" style="40" customWidth="1"/>
    <col min="12815" max="12815" width="3.85546875" style="40" customWidth="1"/>
    <col min="12816" max="12816" width="5.42578125" style="40" customWidth="1"/>
    <col min="12817" max="12817" width="3.85546875" style="40" customWidth="1"/>
    <col min="12818" max="12818" width="5.42578125" style="40" customWidth="1"/>
    <col min="12819" max="12819" width="3.85546875" style="40" customWidth="1"/>
    <col min="12820" max="12820" width="5.42578125" style="40" customWidth="1"/>
    <col min="12821" max="12821" width="3.85546875" style="40" customWidth="1"/>
    <col min="12822" max="12822" width="6.42578125" style="40" customWidth="1"/>
    <col min="12823" max="12823" width="3.85546875" style="40" customWidth="1"/>
    <col min="12824" max="13056" width="9.140625" style="40"/>
    <col min="13057" max="13057" width="19.7109375" style="40" customWidth="1"/>
    <col min="13058" max="13058" width="8.5703125" style="40" customWidth="1"/>
    <col min="13059" max="13059" width="16.140625" style="40" customWidth="1"/>
    <col min="13060" max="13060" width="7.5703125" style="40" customWidth="1"/>
    <col min="13061" max="13061" width="10.7109375" style="40" customWidth="1"/>
    <col min="13062" max="13062" width="5.42578125" style="40" customWidth="1"/>
    <col min="13063" max="13063" width="3.85546875" style="40" customWidth="1"/>
    <col min="13064" max="13064" width="5.42578125" style="40" customWidth="1"/>
    <col min="13065" max="13065" width="3.85546875" style="40" customWidth="1"/>
    <col min="13066" max="13066" width="5.42578125" style="40" customWidth="1"/>
    <col min="13067" max="13067" width="3.85546875" style="40" customWidth="1"/>
    <col min="13068" max="13068" width="5.42578125" style="40" customWidth="1"/>
    <col min="13069" max="13069" width="3.85546875" style="40" customWidth="1"/>
    <col min="13070" max="13070" width="5.42578125" style="40" customWidth="1"/>
    <col min="13071" max="13071" width="3.85546875" style="40" customWidth="1"/>
    <col min="13072" max="13072" width="5.42578125" style="40" customWidth="1"/>
    <col min="13073" max="13073" width="3.85546875" style="40" customWidth="1"/>
    <col min="13074" max="13074" width="5.42578125" style="40" customWidth="1"/>
    <col min="13075" max="13075" width="3.85546875" style="40" customWidth="1"/>
    <col min="13076" max="13076" width="5.42578125" style="40" customWidth="1"/>
    <col min="13077" max="13077" width="3.85546875" style="40" customWidth="1"/>
    <col min="13078" max="13078" width="6.42578125" style="40" customWidth="1"/>
    <col min="13079" max="13079" width="3.85546875" style="40" customWidth="1"/>
    <col min="13080" max="13312" width="9.140625" style="40"/>
    <col min="13313" max="13313" width="19.7109375" style="40" customWidth="1"/>
    <col min="13314" max="13314" width="8.5703125" style="40" customWidth="1"/>
    <col min="13315" max="13315" width="16.140625" style="40" customWidth="1"/>
    <col min="13316" max="13316" width="7.5703125" style="40" customWidth="1"/>
    <col min="13317" max="13317" width="10.7109375" style="40" customWidth="1"/>
    <col min="13318" max="13318" width="5.42578125" style="40" customWidth="1"/>
    <col min="13319" max="13319" width="3.85546875" style="40" customWidth="1"/>
    <col min="13320" max="13320" width="5.42578125" style="40" customWidth="1"/>
    <col min="13321" max="13321" width="3.85546875" style="40" customWidth="1"/>
    <col min="13322" max="13322" width="5.42578125" style="40" customWidth="1"/>
    <col min="13323" max="13323" width="3.85546875" style="40" customWidth="1"/>
    <col min="13324" max="13324" width="5.42578125" style="40" customWidth="1"/>
    <col min="13325" max="13325" width="3.85546875" style="40" customWidth="1"/>
    <col min="13326" max="13326" width="5.42578125" style="40" customWidth="1"/>
    <col min="13327" max="13327" width="3.85546875" style="40" customWidth="1"/>
    <col min="13328" max="13328" width="5.42578125" style="40" customWidth="1"/>
    <col min="13329" max="13329" width="3.85546875" style="40" customWidth="1"/>
    <col min="13330" max="13330" width="5.42578125" style="40" customWidth="1"/>
    <col min="13331" max="13331" width="3.85546875" style="40" customWidth="1"/>
    <col min="13332" max="13332" width="5.42578125" style="40" customWidth="1"/>
    <col min="13333" max="13333" width="3.85546875" style="40" customWidth="1"/>
    <col min="13334" max="13334" width="6.42578125" style="40" customWidth="1"/>
    <col min="13335" max="13335" width="3.85546875" style="40" customWidth="1"/>
    <col min="13336" max="13568" width="9.140625" style="40"/>
    <col min="13569" max="13569" width="19.7109375" style="40" customWidth="1"/>
    <col min="13570" max="13570" width="8.5703125" style="40" customWidth="1"/>
    <col min="13571" max="13571" width="16.140625" style="40" customWidth="1"/>
    <col min="13572" max="13572" width="7.5703125" style="40" customWidth="1"/>
    <col min="13573" max="13573" width="10.7109375" style="40" customWidth="1"/>
    <col min="13574" max="13574" width="5.42578125" style="40" customWidth="1"/>
    <col min="13575" max="13575" width="3.85546875" style="40" customWidth="1"/>
    <col min="13576" max="13576" width="5.42578125" style="40" customWidth="1"/>
    <col min="13577" max="13577" width="3.85546875" style="40" customWidth="1"/>
    <col min="13578" max="13578" width="5.42578125" style="40" customWidth="1"/>
    <col min="13579" max="13579" width="3.85546875" style="40" customWidth="1"/>
    <col min="13580" max="13580" width="5.42578125" style="40" customWidth="1"/>
    <col min="13581" max="13581" width="3.85546875" style="40" customWidth="1"/>
    <col min="13582" max="13582" width="5.42578125" style="40" customWidth="1"/>
    <col min="13583" max="13583" width="3.85546875" style="40" customWidth="1"/>
    <col min="13584" max="13584" width="5.42578125" style="40" customWidth="1"/>
    <col min="13585" max="13585" width="3.85546875" style="40" customWidth="1"/>
    <col min="13586" max="13586" width="5.42578125" style="40" customWidth="1"/>
    <col min="13587" max="13587" width="3.85546875" style="40" customWidth="1"/>
    <col min="13588" max="13588" width="5.42578125" style="40" customWidth="1"/>
    <col min="13589" max="13589" width="3.85546875" style="40" customWidth="1"/>
    <col min="13590" max="13590" width="6.42578125" style="40" customWidth="1"/>
    <col min="13591" max="13591" width="3.85546875" style="40" customWidth="1"/>
    <col min="13592" max="13824" width="9.140625" style="40"/>
    <col min="13825" max="13825" width="19.7109375" style="40" customWidth="1"/>
    <col min="13826" max="13826" width="8.5703125" style="40" customWidth="1"/>
    <col min="13827" max="13827" width="16.140625" style="40" customWidth="1"/>
    <col min="13828" max="13828" width="7.5703125" style="40" customWidth="1"/>
    <col min="13829" max="13829" width="10.7109375" style="40" customWidth="1"/>
    <col min="13830" max="13830" width="5.42578125" style="40" customWidth="1"/>
    <col min="13831" max="13831" width="3.85546875" style="40" customWidth="1"/>
    <col min="13832" max="13832" width="5.42578125" style="40" customWidth="1"/>
    <col min="13833" max="13833" width="3.85546875" style="40" customWidth="1"/>
    <col min="13834" max="13834" width="5.42578125" style="40" customWidth="1"/>
    <col min="13835" max="13835" width="3.85546875" style="40" customWidth="1"/>
    <col min="13836" max="13836" width="5.42578125" style="40" customWidth="1"/>
    <col min="13837" max="13837" width="3.85546875" style="40" customWidth="1"/>
    <col min="13838" max="13838" width="5.42578125" style="40" customWidth="1"/>
    <col min="13839" max="13839" width="3.85546875" style="40" customWidth="1"/>
    <col min="13840" max="13840" width="5.42578125" style="40" customWidth="1"/>
    <col min="13841" max="13841" width="3.85546875" style="40" customWidth="1"/>
    <col min="13842" max="13842" width="5.42578125" style="40" customWidth="1"/>
    <col min="13843" max="13843" width="3.85546875" style="40" customWidth="1"/>
    <col min="13844" max="13844" width="5.42578125" style="40" customWidth="1"/>
    <col min="13845" max="13845" width="3.85546875" style="40" customWidth="1"/>
    <col min="13846" max="13846" width="6.42578125" style="40" customWidth="1"/>
    <col min="13847" max="13847" width="3.85546875" style="40" customWidth="1"/>
    <col min="13848" max="14080" width="9.140625" style="40"/>
    <col min="14081" max="14081" width="19.7109375" style="40" customWidth="1"/>
    <col min="14082" max="14082" width="8.5703125" style="40" customWidth="1"/>
    <col min="14083" max="14083" width="16.140625" style="40" customWidth="1"/>
    <col min="14084" max="14084" width="7.5703125" style="40" customWidth="1"/>
    <col min="14085" max="14085" width="10.7109375" style="40" customWidth="1"/>
    <col min="14086" max="14086" width="5.42578125" style="40" customWidth="1"/>
    <col min="14087" max="14087" width="3.85546875" style="40" customWidth="1"/>
    <col min="14088" max="14088" width="5.42578125" style="40" customWidth="1"/>
    <col min="14089" max="14089" width="3.85546875" style="40" customWidth="1"/>
    <col min="14090" max="14090" width="5.42578125" style="40" customWidth="1"/>
    <col min="14091" max="14091" width="3.85546875" style="40" customWidth="1"/>
    <col min="14092" max="14092" width="5.42578125" style="40" customWidth="1"/>
    <col min="14093" max="14093" width="3.85546875" style="40" customWidth="1"/>
    <col min="14094" max="14094" width="5.42578125" style="40" customWidth="1"/>
    <col min="14095" max="14095" width="3.85546875" style="40" customWidth="1"/>
    <col min="14096" max="14096" width="5.42578125" style="40" customWidth="1"/>
    <col min="14097" max="14097" width="3.85546875" style="40" customWidth="1"/>
    <col min="14098" max="14098" width="5.42578125" style="40" customWidth="1"/>
    <col min="14099" max="14099" width="3.85546875" style="40" customWidth="1"/>
    <col min="14100" max="14100" width="5.42578125" style="40" customWidth="1"/>
    <col min="14101" max="14101" width="3.85546875" style="40" customWidth="1"/>
    <col min="14102" max="14102" width="6.42578125" style="40" customWidth="1"/>
    <col min="14103" max="14103" width="3.85546875" style="40" customWidth="1"/>
    <col min="14104" max="14336" width="9.140625" style="40"/>
    <col min="14337" max="14337" width="19.7109375" style="40" customWidth="1"/>
    <col min="14338" max="14338" width="8.5703125" style="40" customWidth="1"/>
    <col min="14339" max="14339" width="16.140625" style="40" customWidth="1"/>
    <col min="14340" max="14340" width="7.5703125" style="40" customWidth="1"/>
    <col min="14341" max="14341" width="10.7109375" style="40" customWidth="1"/>
    <col min="14342" max="14342" width="5.42578125" style="40" customWidth="1"/>
    <col min="14343" max="14343" width="3.85546875" style="40" customWidth="1"/>
    <col min="14344" max="14344" width="5.42578125" style="40" customWidth="1"/>
    <col min="14345" max="14345" width="3.85546875" style="40" customWidth="1"/>
    <col min="14346" max="14346" width="5.42578125" style="40" customWidth="1"/>
    <col min="14347" max="14347" width="3.85546875" style="40" customWidth="1"/>
    <col min="14348" max="14348" width="5.42578125" style="40" customWidth="1"/>
    <col min="14349" max="14349" width="3.85546875" style="40" customWidth="1"/>
    <col min="14350" max="14350" width="5.42578125" style="40" customWidth="1"/>
    <col min="14351" max="14351" width="3.85546875" style="40" customWidth="1"/>
    <col min="14352" max="14352" width="5.42578125" style="40" customWidth="1"/>
    <col min="14353" max="14353" width="3.85546875" style="40" customWidth="1"/>
    <col min="14354" max="14354" width="5.42578125" style="40" customWidth="1"/>
    <col min="14355" max="14355" width="3.85546875" style="40" customWidth="1"/>
    <col min="14356" max="14356" width="5.42578125" style="40" customWidth="1"/>
    <col min="14357" max="14357" width="3.85546875" style="40" customWidth="1"/>
    <col min="14358" max="14358" width="6.42578125" style="40" customWidth="1"/>
    <col min="14359" max="14359" width="3.85546875" style="40" customWidth="1"/>
    <col min="14360" max="14592" width="9.140625" style="40"/>
    <col min="14593" max="14593" width="19.7109375" style="40" customWidth="1"/>
    <col min="14594" max="14594" width="8.5703125" style="40" customWidth="1"/>
    <col min="14595" max="14595" width="16.140625" style="40" customWidth="1"/>
    <col min="14596" max="14596" width="7.5703125" style="40" customWidth="1"/>
    <col min="14597" max="14597" width="10.7109375" style="40" customWidth="1"/>
    <col min="14598" max="14598" width="5.42578125" style="40" customWidth="1"/>
    <col min="14599" max="14599" width="3.85546875" style="40" customWidth="1"/>
    <col min="14600" max="14600" width="5.42578125" style="40" customWidth="1"/>
    <col min="14601" max="14601" width="3.85546875" style="40" customWidth="1"/>
    <col min="14602" max="14602" width="5.42578125" style="40" customWidth="1"/>
    <col min="14603" max="14603" width="3.85546875" style="40" customWidth="1"/>
    <col min="14604" max="14604" width="5.42578125" style="40" customWidth="1"/>
    <col min="14605" max="14605" width="3.85546875" style="40" customWidth="1"/>
    <col min="14606" max="14606" width="5.42578125" style="40" customWidth="1"/>
    <col min="14607" max="14607" width="3.85546875" style="40" customWidth="1"/>
    <col min="14608" max="14608" width="5.42578125" style="40" customWidth="1"/>
    <col min="14609" max="14609" width="3.85546875" style="40" customWidth="1"/>
    <col min="14610" max="14610" width="5.42578125" style="40" customWidth="1"/>
    <col min="14611" max="14611" width="3.85546875" style="40" customWidth="1"/>
    <col min="14612" max="14612" width="5.42578125" style="40" customWidth="1"/>
    <col min="14613" max="14613" width="3.85546875" style="40" customWidth="1"/>
    <col min="14614" max="14614" width="6.42578125" style="40" customWidth="1"/>
    <col min="14615" max="14615" width="3.85546875" style="40" customWidth="1"/>
    <col min="14616" max="14848" width="9.140625" style="40"/>
    <col min="14849" max="14849" width="19.7109375" style="40" customWidth="1"/>
    <col min="14850" max="14850" width="8.5703125" style="40" customWidth="1"/>
    <col min="14851" max="14851" width="16.140625" style="40" customWidth="1"/>
    <col min="14852" max="14852" width="7.5703125" style="40" customWidth="1"/>
    <col min="14853" max="14853" width="10.7109375" style="40" customWidth="1"/>
    <col min="14854" max="14854" width="5.42578125" style="40" customWidth="1"/>
    <col min="14855" max="14855" width="3.85546875" style="40" customWidth="1"/>
    <col min="14856" max="14856" width="5.42578125" style="40" customWidth="1"/>
    <col min="14857" max="14857" width="3.85546875" style="40" customWidth="1"/>
    <col min="14858" max="14858" width="5.42578125" style="40" customWidth="1"/>
    <col min="14859" max="14859" width="3.85546875" style="40" customWidth="1"/>
    <col min="14860" max="14860" width="5.42578125" style="40" customWidth="1"/>
    <col min="14861" max="14861" width="3.85546875" style="40" customWidth="1"/>
    <col min="14862" max="14862" width="5.42578125" style="40" customWidth="1"/>
    <col min="14863" max="14863" width="3.85546875" style="40" customWidth="1"/>
    <col min="14864" max="14864" width="5.42578125" style="40" customWidth="1"/>
    <col min="14865" max="14865" width="3.85546875" style="40" customWidth="1"/>
    <col min="14866" max="14866" width="5.42578125" style="40" customWidth="1"/>
    <col min="14867" max="14867" width="3.85546875" style="40" customWidth="1"/>
    <col min="14868" max="14868" width="5.42578125" style="40" customWidth="1"/>
    <col min="14869" max="14869" width="3.85546875" style="40" customWidth="1"/>
    <col min="14870" max="14870" width="6.42578125" style="40" customWidth="1"/>
    <col min="14871" max="14871" width="3.85546875" style="40" customWidth="1"/>
    <col min="14872" max="15104" width="9.140625" style="40"/>
    <col min="15105" max="15105" width="19.7109375" style="40" customWidth="1"/>
    <col min="15106" max="15106" width="8.5703125" style="40" customWidth="1"/>
    <col min="15107" max="15107" width="16.140625" style="40" customWidth="1"/>
    <col min="15108" max="15108" width="7.5703125" style="40" customWidth="1"/>
    <col min="15109" max="15109" width="10.7109375" style="40" customWidth="1"/>
    <col min="15110" max="15110" width="5.42578125" style="40" customWidth="1"/>
    <col min="15111" max="15111" width="3.85546875" style="40" customWidth="1"/>
    <col min="15112" max="15112" width="5.42578125" style="40" customWidth="1"/>
    <col min="15113" max="15113" width="3.85546875" style="40" customWidth="1"/>
    <col min="15114" max="15114" width="5.42578125" style="40" customWidth="1"/>
    <col min="15115" max="15115" width="3.85546875" style="40" customWidth="1"/>
    <col min="15116" max="15116" width="5.42578125" style="40" customWidth="1"/>
    <col min="15117" max="15117" width="3.85546875" style="40" customWidth="1"/>
    <col min="15118" max="15118" width="5.42578125" style="40" customWidth="1"/>
    <col min="15119" max="15119" width="3.85546875" style="40" customWidth="1"/>
    <col min="15120" max="15120" width="5.42578125" style="40" customWidth="1"/>
    <col min="15121" max="15121" width="3.85546875" style="40" customWidth="1"/>
    <col min="15122" max="15122" width="5.42578125" style="40" customWidth="1"/>
    <col min="15123" max="15123" width="3.85546875" style="40" customWidth="1"/>
    <col min="15124" max="15124" width="5.42578125" style="40" customWidth="1"/>
    <col min="15125" max="15125" width="3.85546875" style="40" customWidth="1"/>
    <col min="15126" max="15126" width="6.42578125" style="40" customWidth="1"/>
    <col min="15127" max="15127" width="3.85546875" style="40" customWidth="1"/>
    <col min="15128" max="15360" width="9.140625" style="40"/>
    <col min="15361" max="15361" width="19.7109375" style="40" customWidth="1"/>
    <col min="15362" max="15362" width="8.5703125" style="40" customWidth="1"/>
    <col min="15363" max="15363" width="16.140625" style="40" customWidth="1"/>
    <col min="15364" max="15364" width="7.5703125" style="40" customWidth="1"/>
    <col min="15365" max="15365" width="10.7109375" style="40" customWidth="1"/>
    <col min="15366" max="15366" width="5.42578125" style="40" customWidth="1"/>
    <col min="15367" max="15367" width="3.85546875" style="40" customWidth="1"/>
    <col min="15368" max="15368" width="5.42578125" style="40" customWidth="1"/>
    <col min="15369" max="15369" width="3.85546875" style="40" customWidth="1"/>
    <col min="15370" max="15370" width="5.42578125" style="40" customWidth="1"/>
    <col min="15371" max="15371" width="3.85546875" style="40" customWidth="1"/>
    <col min="15372" max="15372" width="5.42578125" style="40" customWidth="1"/>
    <col min="15373" max="15373" width="3.85546875" style="40" customWidth="1"/>
    <col min="15374" max="15374" width="5.42578125" style="40" customWidth="1"/>
    <col min="15375" max="15375" width="3.85546875" style="40" customWidth="1"/>
    <col min="15376" max="15376" width="5.42578125" style="40" customWidth="1"/>
    <col min="15377" max="15377" width="3.85546875" style="40" customWidth="1"/>
    <col min="15378" max="15378" width="5.42578125" style="40" customWidth="1"/>
    <col min="15379" max="15379" width="3.85546875" style="40" customWidth="1"/>
    <col min="15380" max="15380" width="5.42578125" style="40" customWidth="1"/>
    <col min="15381" max="15381" width="3.85546875" style="40" customWidth="1"/>
    <col min="15382" max="15382" width="6.42578125" style="40" customWidth="1"/>
    <col min="15383" max="15383" width="3.85546875" style="40" customWidth="1"/>
    <col min="15384" max="15616" width="9.140625" style="40"/>
    <col min="15617" max="15617" width="19.7109375" style="40" customWidth="1"/>
    <col min="15618" max="15618" width="8.5703125" style="40" customWidth="1"/>
    <col min="15619" max="15619" width="16.140625" style="40" customWidth="1"/>
    <col min="15620" max="15620" width="7.5703125" style="40" customWidth="1"/>
    <col min="15621" max="15621" width="10.7109375" style="40" customWidth="1"/>
    <col min="15622" max="15622" width="5.42578125" style="40" customWidth="1"/>
    <col min="15623" max="15623" width="3.85546875" style="40" customWidth="1"/>
    <col min="15624" max="15624" width="5.42578125" style="40" customWidth="1"/>
    <col min="15625" max="15625" width="3.85546875" style="40" customWidth="1"/>
    <col min="15626" max="15626" width="5.42578125" style="40" customWidth="1"/>
    <col min="15627" max="15627" width="3.85546875" style="40" customWidth="1"/>
    <col min="15628" max="15628" width="5.42578125" style="40" customWidth="1"/>
    <col min="15629" max="15629" width="3.85546875" style="40" customWidth="1"/>
    <col min="15630" max="15630" width="5.42578125" style="40" customWidth="1"/>
    <col min="15631" max="15631" width="3.85546875" style="40" customWidth="1"/>
    <col min="15632" max="15632" width="5.42578125" style="40" customWidth="1"/>
    <col min="15633" max="15633" width="3.85546875" style="40" customWidth="1"/>
    <col min="15634" max="15634" width="5.42578125" style="40" customWidth="1"/>
    <col min="15635" max="15635" width="3.85546875" style="40" customWidth="1"/>
    <col min="15636" max="15636" width="5.42578125" style="40" customWidth="1"/>
    <col min="15637" max="15637" width="3.85546875" style="40" customWidth="1"/>
    <col min="15638" max="15638" width="6.42578125" style="40" customWidth="1"/>
    <col min="15639" max="15639" width="3.85546875" style="40" customWidth="1"/>
    <col min="15640" max="15872" width="9.140625" style="40"/>
    <col min="15873" max="15873" width="19.7109375" style="40" customWidth="1"/>
    <col min="15874" max="15874" width="8.5703125" style="40" customWidth="1"/>
    <col min="15875" max="15875" width="16.140625" style="40" customWidth="1"/>
    <col min="15876" max="15876" width="7.5703125" style="40" customWidth="1"/>
    <col min="15877" max="15877" width="10.7109375" style="40" customWidth="1"/>
    <col min="15878" max="15878" width="5.42578125" style="40" customWidth="1"/>
    <col min="15879" max="15879" width="3.85546875" style="40" customWidth="1"/>
    <col min="15880" max="15880" width="5.42578125" style="40" customWidth="1"/>
    <col min="15881" max="15881" width="3.85546875" style="40" customWidth="1"/>
    <col min="15882" max="15882" width="5.42578125" style="40" customWidth="1"/>
    <col min="15883" max="15883" width="3.85546875" style="40" customWidth="1"/>
    <col min="15884" max="15884" width="5.42578125" style="40" customWidth="1"/>
    <col min="15885" max="15885" width="3.85546875" style="40" customWidth="1"/>
    <col min="15886" max="15886" width="5.42578125" style="40" customWidth="1"/>
    <col min="15887" max="15887" width="3.85546875" style="40" customWidth="1"/>
    <col min="15888" max="15888" width="5.42578125" style="40" customWidth="1"/>
    <col min="15889" max="15889" width="3.85546875" style="40" customWidth="1"/>
    <col min="15890" max="15890" width="5.42578125" style="40" customWidth="1"/>
    <col min="15891" max="15891" width="3.85546875" style="40" customWidth="1"/>
    <col min="15892" max="15892" width="5.42578125" style="40" customWidth="1"/>
    <col min="15893" max="15893" width="3.85546875" style="40" customWidth="1"/>
    <col min="15894" max="15894" width="6.42578125" style="40" customWidth="1"/>
    <col min="15895" max="15895" width="3.85546875" style="40" customWidth="1"/>
    <col min="15896" max="16128" width="9.140625" style="40"/>
    <col min="16129" max="16129" width="19.7109375" style="40" customWidth="1"/>
    <col min="16130" max="16130" width="8.5703125" style="40" customWidth="1"/>
    <col min="16131" max="16131" width="16.140625" style="40" customWidth="1"/>
    <col min="16132" max="16132" width="7.5703125" style="40" customWidth="1"/>
    <col min="16133" max="16133" width="10.7109375" style="40" customWidth="1"/>
    <col min="16134" max="16134" width="5.42578125" style="40" customWidth="1"/>
    <col min="16135" max="16135" width="3.85546875" style="40" customWidth="1"/>
    <col min="16136" max="16136" width="5.42578125" style="40" customWidth="1"/>
    <col min="16137" max="16137" width="3.85546875" style="40" customWidth="1"/>
    <col min="16138" max="16138" width="5.42578125" style="40" customWidth="1"/>
    <col min="16139" max="16139" width="3.85546875" style="40" customWidth="1"/>
    <col min="16140" max="16140" width="5.42578125" style="40" customWidth="1"/>
    <col min="16141" max="16141" width="3.85546875" style="40" customWidth="1"/>
    <col min="16142" max="16142" width="5.42578125" style="40" customWidth="1"/>
    <col min="16143" max="16143" width="3.85546875" style="40" customWidth="1"/>
    <col min="16144" max="16144" width="5.42578125" style="40" customWidth="1"/>
    <col min="16145" max="16145" width="3.85546875" style="40" customWidth="1"/>
    <col min="16146" max="16146" width="5.42578125" style="40" customWidth="1"/>
    <col min="16147" max="16147" width="3.85546875" style="40" customWidth="1"/>
    <col min="16148" max="16148" width="5.42578125" style="40" customWidth="1"/>
    <col min="16149" max="16149" width="3.85546875" style="40" customWidth="1"/>
    <col min="16150" max="16150" width="6.42578125" style="40" customWidth="1"/>
    <col min="16151" max="16151" width="3.85546875" style="40" customWidth="1"/>
    <col min="16152" max="16384" width="9.140625" style="40"/>
  </cols>
  <sheetData>
    <row r="1" spans="1:23" ht="58.5" customHeight="1" thickBot="1" x14ac:dyDescent="0.25">
      <c r="J1" s="41"/>
      <c r="N1" s="42" t="s">
        <v>99</v>
      </c>
      <c r="O1" s="41"/>
      <c r="W1" s="43" t="s">
        <v>100</v>
      </c>
    </row>
    <row r="2" spans="1:23" s="50" customFormat="1" ht="18" x14ac:dyDescent="0.25">
      <c r="A2" s="44" t="s">
        <v>102</v>
      </c>
      <c r="B2" s="45"/>
      <c r="C2" s="45"/>
      <c r="D2" s="45"/>
      <c r="E2" s="45"/>
      <c r="F2" s="46" t="s">
        <v>103</v>
      </c>
      <c r="G2" s="47"/>
      <c r="H2" s="260" t="s">
        <v>104</v>
      </c>
      <c r="I2" s="261"/>
      <c r="J2" s="261"/>
      <c r="K2" s="262"/>
      <c r="L2" s="260" t="s">
        <v>105</v>
      </c>
      <c r="M2" s="261"/>
      <c r="N2" s="261"/>
      <c r="O2" s="262"/>
      <c r="P2" s="46" t="s">
        <v>106</v>
      </c>
      <c r="Q2" s="45"/>
      <c r="R2" s="46" t="s">
        <v>106</v>
      </c>
      <c r="S2" s="45"/>
      <c r="T2" s="46" t="s">
        <v>105</v>
      </c>
      <c r="U2" s="48"/>
      <c r="V2" s="46" t="s">
        <v>107</v>
      </c>
      <c r="W2" s="49"/>
    </row>
    <row r="3" spans="1:23" s="50" customFormat="1" x14ac:dyDescent="0.2">
      <c r="A3" s="51" t="s">
        <v>108</v>
      </c>
      <c r="B3" s="52"/>
      <c r="C3" s="52"/>
      <c r="D3" s="53"/>
      <c r="E3" s="52"/>
      <c r="F3" s="54"/>
      <c r="G3" s="55"/>
      <c r="H3" s="250" t="s">
        <v>109</v>
      </c>
      <c r="I3" s="251"/>
      <c r="J3" s="251"/>
      <c r="K3" s="252"/>
      <c r="L3" s="263" t="s">
        <v>110</v>
      </c>
      <c r="M3" s="264"/>
      <c r="N3" s="264"/>
      <c r="O3" s="265"/>
      <c r="P3" s="56" t="s">
        <v>111</v>
      </c>
      <c r="Q3" s="57"/>
      <c r="R3" s="54" t="s">
        <v>112</v>
      </c>
      <c r="S3" s="57"/>
      <c r="T3" s="58" t="s">
        <v>113</v>
      </c>
      <c r="U3" s="55"/>
      <c r="V3" s="58" t="s">
        <v>114</v>
      </c>
      <c r="W3" s="59"/>
    </row>
    <row r="4" spans="1:23" s="50" customFormat="1" x14ac:dyDescent="0.2">
      <c r="A4" s="51"/>
      <c r="B4" s="57"/>
      <c r="C4" s="52"/>
      <c r="D4" s="53"/>
      <c r="E4" s="52"/>
      <c r="F4" s="54"/>
      <c r="G4" s="55"/>
      <c r="H4" s="250" t="s">
        <v>115</v>
      </c>
      <c r="I4" s="251"/>
      <c r="J4" s="251"/>
      <c r="K4" s="252"/>
      <c r="L4" s="250"/>
      <c r="M4" s="251"/>
      <c r="N4" s="251"/>
      <c r="O4" s="252"/>
      <c r="P4" s="54"/>
      <c r="Q4" s="57"/>
      <c r="R4" s="54"/>
      <c r="S4" s="57"/>
      <c r="T4" s="60"/>
      <c r="U4" s="55"/>
      <c r="V4" s="54"/>
      <c r="W4" s="59"/>
    </row>
    <row r="5" spans="1:23" s="50" customFormat="1" x14ac:dyDescent="0.2">
      <c r="A5" s="51"/>
      <c r="B5" s="57"/>
      <c r="C5" s="52"/>
      <c r="D5" s="53"/>
      <c r="E5" s="52"/>
      <c r="F5" s="54"/>
      <c r="G5" s="55"/>
      <c r="H5" s="250"/>
      <c r="I5" s="251"/>
      <c r="J5" s="251"/>
      <c r="K5" s="252"/>
      <c r="L5" s="253"/>
      <c r="M5" s="254"/>
      <c r="N5" s="254"/>
      <c r="O5" s="255"/>
      <c r="P5" s="54"/>
      <c r="Q5" s="57"/>
      <c r="R5" s="54"/>
      <c r="S5" s="57"/>
      <c r="T5" s="60"/>
      <c r="U5" s="57"/>
      <c r="V5" s="54"/>
      <c r="W5" s="59"/>
    </row>
    <row r="6" spans="1:23" s="50" customFormat="1" x14ac:dyDescent="0.2">
      <c r="A6" s="61" t="s">
        <v>116</v>
      </c>
      <c r="B6" s="62">
        <v>42593</v>
      </c>
      <c r="C6" s="63"/>
      <c r="D6" s="64"/>
      <c r="E6" s="63"/>
      <c r="F6" s="65"/>
      <c r="G6" s="66"/>
      <c r="H6" s="67" t="s">
        <v>117</v>
      </c>
      <c r="I6" s="68"/>
      <c r="J6" s="69" t="s">
        <v>118</v>
      </c>
      <c r="K6" s="70"/>
      <c r="L6" s="67" t="s">
        <v>117</v>
      </c>
      <c r="M6" s="68"/>
      <c r="N6" s="69" t="s">
        <v>118</v>
      </c>
      <c r="O6" s="70"/>
      <c r="P6" s="65"/>
      <c r="Q6" s="71"/>
      <c r="R6" s="65"/>
      <c r="S6" s="71"/>
      <c r="T6" s="65"/>
      <c r="U6" s="71"/>
      <c r="V6" s="65"/>
      <c r="W6" s="72"/>
    </row>
    <row r="7" spans="1:23" s="50" customFormat="1" x14ac:dyDescent="0.2">
      <c r="A7" s="73"/>
      <c r="B7" s="40"/>
      <c r="C7" s="40"/>
      <c r="D7" s="40"/>
      <c r="E7" s="40"/>
      <c r="F7" s="74"/>
      <c r="G7" s="75"/>
      <c r="H7" s="74"/>
      <c r="I7" s="40"/>
      <c r="J7" s="74"/>
      <c r="K7" s="40"/>
      <c r="L7" s="74"/>
      <c r="M7" s="40"/>
      <c r="N7" s="74"/>
      <c r="O7" s="40"/>
      <c r="P7" s="74"/>
      <c r="Q7" s="40"/>
      <c r="R7" s="74"/>
      <c r="S7" s="40"/>
      <c r="T7" s="74"/>
      <c r="U7" s="75"/>
      <c r="V7" s="74"/>
      <c r="W7" s="76"/>
    </row>
    <row r="8" spans="1:23" s="50" customFormat="1" x14ac:dyDescent="0.2">
      <c r="A8" s="73"/>
      <c r="B8" s="40"/>
      <c r="C8" s="40"/>
      <c r="D8" s="40"/>
      <c r="E8" s="40"/>
      <c r="F8" s="74"/>
      <c r="G8" s="75"/>
      <c r="H8" s="74"/>
      <c r="I8" s="40"/>
      <c r="J8" s="74"/>
      <c r="K8" s="40"/>
      <c r="L8" s="74"/>
      <c r="M8" s="40"/>
      <c r="N8" s="74"/>
      <c r="O8" s="40"/>
      <c r="P8" s="74"/>
      <c r="Q8" s="40"/>
      <c r="R8" s="74"/>
      <c r="S8" s="40"/>
      <c r="T8" s="74"/>
      <c r="U8" s="75"/>
      <c r="V8" s="74"/>
      <c r="W8" s="76"/>
    </row>
    <row r="9" spans="1:23" s="50" customFormat="1" ht="15" x14ac:dyDescent="0.25">
      <c r="A9" s="232" t="s">
        <v>119</v>
      </c>
      <c r="B9" s="77"/>
      <c r="C9" s="77"/>
      <c r="D9" s="77"/>
      <c r="E9" s="77"/>
      <c r="F9" s="78">
        <v>200</v>
      </c>
      <c r="G9" s="79" t="s">
        <v>120</v>
      </c>
      <c r="H9" s="78">
        <v>20</v>
      </c>
      <c r="I9" s="79" t="s">
        <v>120</v>
      </c>
      <c r="J9" s="78"/>
      <c r="K9" s="77"/>
      <c r="L9" s="78">
        <v>200</v>
      </c>
      <c r="M9" s="77" t="s">
        <v>120</v>
      </c>
      <c r="N9" s="78"/>
      <c r="O9" s="77"/>
      <c r="P9" s="74"/>
      <c r="Q9" s="40"/>
      <c r="R9" s="74"/>
      <c r="S9" s="40"/>
      <c r="T9" s="74"/>
      <c r="U9" s="75"/>
      <c r="V9" s="74"/>
      <c r="W9" s="76"/>
    </row>
    <row r="10" spans="1:23" s="50" customFormat="1" ht="15" x14ac:dyDescent="0.25">
      <c r="A10" s="233" t="s">
        <v>121</v>
      </c>
      <c r="B10" s="40"/>
      <c r="C10" s="40"/>
      <c r="D10" s="40"/>
      <c r="E10" s="40"/>
      <c r="F10" s="74">
        <v>100</v>
      </c>
      <c r="G10" s="75" t="s">
        <v>120</v>
      </c>
      <c r="H10" s="74">
        <v>100</v>
      </c>
      <c r="I10" s="75" t="s">
        <v>120</v>
      </c>
      <c r="J10" s="74"/>
      <c r="K10" s="40"/>
      <c r="L10" s="74">
        <v>300</v>
      </c>
      <c r="M10" s="40" t="s">
        <v>120</v>
      </c>
      <c r="N10" s="74"/>
      <c r="O10" s="40"/>
      <c r="P10" s="74"/>
      <c r="Q10" s="40"/>
      <c r="R10" s="74"/>
      <c r="S10" s="40"/>
      <c r="T10" s="74"/>
      <c r="U10" s="75"/>
      <c r="V10" s="74"/>
      <c r="W10" s="76"/>
    </row>
    <row r="11" spans="1:23" s="50" customFormat="1" ht="15" x14ac:dyDescent="0.25">
      <c r="A11" s="232" t="s">
        <v>122</v>
      </c>
      <c r="B11" s="77"/>
      <c r="C11" s="77"/>
      <c r="D11" s="77"/>
      <c r="E11" s="77"/>
      <c r="F11" s="78">
        <v>100</v>
      </c>
      <c r="G11" s="79" t="s">
        <v>120</v>
      </c>
      <c r="H11" s="78">
        <v>100</v>
      </c>
      <c r="I11" s="79" t="s">
        <v>120</v>
      </c>
      <c r="J11" s="78">
        <v>100</v>
      </c>
      <c r="K11" s="77" t="s">
        <v>120</v>
      </c>
      <c r="L11" s="78">
        <v>100</v>
      </c>
      <c r="M11" s="77" t="s">
        <v>120</v>
      </c>
      <c r="N11" s="78">
        <v>100</v>
      </c>
      <c r="O11" s="77" t="s">
        <v>120</v>
      </c>
      <c r="P11" s="74"/>
      <c r="Q11" s="40"/>
      <c r="R11" s="74"/>
      <c r="S11" s="40"/>
      <c r="T11" s="74"/>
      <c r="U11" s="75"/>
      <c r="V11" s="74"/>
      <c r="W11" s="76"/>
    </row>
    <row r="12" spans="1:23" s="50" customFormat="1" ht="15" x14ac:dyDescent="0.25">
      <c r="A12" s="233" t="s">
        <v>123</v>
      </c>
      <c r="B12" s="40"/>
      <c r="C12" s="40"/>
      <c r="D12" s="40"/>
      <c r="E12" s="40"/>
      <c r="F12" s="74"/>
      <c r="G12" s="75"/>
      <c r="H12" s="74">
        <v>100</v>
      </c>
      <c r="I12" s="75" t="s">
        <v>120</v>
      </c>
      <c r="J12" s="74"/>
      <c r="K12" s="40"/>
      <c r="L12" s="74"/>
      <c r="M12" s="40"/>
      <c r="N12" s="74"/>
      <c r="O12" s="40"/>
      <c r="P12" s="74"/>
      <c r="Q12" s="40"/>
      <c r="R12" s="74"/>
      <c r="S12" s="40"/>
      <c r="T12" s="74"/>
      <c r="U12" s="75"/>
      <c r="V12" s="74"/>
      <c r="W12" s="76"/>
    </row>
    <row r="13" spans="1:23" s="50" customFormat="1" x14ac:dyDescent="0.2">
      <c r="A13" s="80" t="s">
        <v>124</v>
      </c>
      <c r="B13" s="77"/>
      <c r="C13" s="77"/>
      <c r="D13" s="77"/>
      <c r="E13" s="77"/>
      <c r="F13" s="78">
        <v>100</v>
      </c>
      <c r="G13" s="79" t="s">
        <v>120</v>
      </c>
      <c r="H13" s="78">
        <v>100</v>
      </c>
      <c r="I13" s="79" t="s">
        <v>120</v>
      </c>
      <c r="J13" s="78">
        <v>100</v>
      </c>
      <c r="K13" s="77" t="s">
        <v>120</v>
      </c>
      <c r="L13" s="78">
        <v>100</v>
      </c>
      <c r="M13" s="77" t="s">
        <v>120</v>
      </c>
      <c r="N13" s="78">
        <v>100</v>
      </c>
      <c r="O13" s="77" t="s">
        <v>120</v>
      </c>
      <c r="P13" s="74"/>
      <c r="Q13" s="40"/>
      <c r="R13" s="74"/>
      <c r="S13" s="40"/>
      <c r="T13" s="74"/>
      <c r="U13" s="75"/>
      <c r="V13" s="74"/>
      <c r="W13" s="76"/>
    </row>
    <row r="14" spans="1:23" s="50" customFormat="1" x14ac:dyDescent="0.2">
      <c r="A14" s="73" t="s">
        <v>125</v>
      </c>
      <c r="B14" s="40"/>
      <c r="C14" s="40"/>
      <c r="D14" s="40"/>
      <c r="E14" s="40"/>
      <c r="F14" s="74">
        <v>5</v>
      </c>
      <c r="G14" s="75" t="s">
        <v>126</v>
      </c>
      <c r="H14" s="74">
        <v>5</v>
      </c>
      <c r="I14" s="75" t="s">
        <v>126</v>
      </c>
      <c r="J14" s="74">
        <v>5</v>
      </c>
      <c r="K14" s="40" t="s">
        <v>126</v>
      </c>
      <c r="L14" s="74">
        <v>5</v>
      </c>
      <c r="M14" s="40" t="s">
        <v>126</v>
      </c>
      <c r="N14" s="74">
        <v>5</v>
      </c>
      <c r="O14" s="40" t="s">
        <v>126</v>
      </c>
      <c r="P14" s="74"/>
      <c r="Q14" s="40"/>
      <c r="R14" s="74"/>
      <c r="S14" s="40"/>
      <c r="T14" s="74"/>
      <c r="U14" s="75"/>
      <c r="V14" s="74"/>
      <c r="W14" s="76"/>
    </row>
    <row r="15" spans="1:23" s="50" customFormat="1" x14ac:dyDescent="0.2">
      <c r="A15" s="80" t="s">
        <v>127</v>
      </c>
      <c r="B15" s="77"/>
      <c r="C15" s="77"/>
      <c r="D15" s="77"/>
      <c r="E15" s="77"/>
      <c r="F15" s="78">
        <f>(F16*1000-F14*1000-F13-F12-F11-F10-F9)/1000</f>
        <v>4.5</v>
      </c>
      <c r="G15" s="79" t="s">
        <v>126</v>
      </c>
      <c r="H15" s="78">
        <f>(H16*1000-H14*1000-H13-H12-H11-H10-H9)/1000</f>
        <v>4.58</v>
      </c>
      <c r="I15" s="79" t="s">
        <v>126</v>
      </c>
      <c r="J15" s="78">
        <f>(J20*1000-J14*1000-J13-J12-J11-J10-J9-J18-J19)/1000</f>
        <v>4.5999999999999996</v>
      </c>
      <c r="K15" s="77" t="s">
        <v>126</v>
      </c>
      <c r="L15" s="78">
        <f>(L16*1000-L14*1000-L13-L12-L11-L10-L9)/1000</f>
        <v>4.3</v>
      </c>
      <c r="M15" s="77" t="s">
        <v>126</v>
      </c>
      <c r="N15" s="78">
        <f>(N20*1000-N14*1000-N13-N12-N11-N10-N9-N18-N19)/1000</f>
        <v>4.5999999999999996</v>
      </c>
      <c r="O15" s="77" t="s">
        <v>126</v>
      </c>
      <c r="P15" s="74"/>
      <c r="Q15" s="40"/>
      <c r="R15" s="74"/>
      <c r="S15" s="40"/>
      <c r="T15" s="74"/>
      <c r="U15" s="75"/>
      <c r="V15" s="74"/>
      <c r="W15" s="76"/>
    </row>
    <row r="16" spans="1:23" s="50" customFormat="1" ht="13.5" thickBot="1" x14ac:dyDescent="0.25">
      <c r="A16" s="81" t="s">
        <v>128</v>
      </c>
      <c r="B16" s="82"/>
      <c r="C16" s="82"/>
      <c r="D16" s="82"/>
      <c r="E16" s="82"/>
      <c r="F16" s="83">
        <v>10</v>
      </c>
      <c r="G16" s="84" t="s">
        <v>126</v>
      </c>
      <c r="H16" s="83">
        <v>10</v>
      </c>
      <c r="I16" s="84" t="s">
        <v>126</v>
      </c>
      <c r="J16" s="74"/>
      <c r="K16" s="40"/>
      <c r="L16" s="83">
        <v>10</v>
      </c>
      <c r="M16" s="84" t="s">
        <v>126</v>
      </c>
      <c r="N16" s="74"/>
      <c r="O16" s="40"/>
      <c r="P16" s="74"/>
      <c r="Q16" s="40"/>
      <c r="R16" s="74"/>
      <c r="S16" s="40"/>
      <c r="T16" s="74"/>
      <c r="U16" s="40"/>
      <c r="V16" s="74"/>
      <c r="W16" s="76"/>
    </row>
    <row r="17" spans="1:23" s="50" customFormat="1" ht="13.5" thickTop="1" x14ac:dyDescent="0.2">
      <c r="A17" s="73"/>
      <c r="B17" s="40"/>
      <c r="C17" s="40"/>
      <c r="D17" s="40"/>
      <c r="E17" s="40"/>
      <c r="F17" s="40"/>
      <c r="G17" s="40"/>
      <c r="H17" s="40"/>
      <c r="I17" s="40"/>
      <c r="J17" s="74"/>
      <c r="K17" s="40"/>
      <c r="L17" s="85"/>
      <c r="M17" s="40"/>
      <c r="N17" s="74"/>
      <c r="O17" s="40"/>
      <c r="P17" s="74"/>
      <c r="Q17" s="40"/>
      <c r="R17" s="74"/>
      <c r="S17" s="40"/>
      <c r="T17" s="74"/>
      <c r="U17" s="40"/>
      <c r="V17" s="74"/>
      <c r="W17" s="76"/>
    </row>
    <row r="18" spans="1:23" s="50" customFormat="1" ht="15" x14ac:dyDescent="0.25">
      <c r="A18" s="233" t="s">
        <v>129</v>
      </c>
      <c r="B18" s="40"/>
      <c r="C18" s="40"/>
      <c r="D18" s="40"/>
      <c r="E18" s="40"/>
      <c r="F18" s="40"/>
      <c r="G18" s="40"/>
      <c r="H18" s="40"/>
      <c r="I18" s="40"/>
      <c r="J18" s="74">
        <v>100</v>
      </c>
      <c r="K18" s="40" t="s">
        <v>120</v>
      </c>
      <c r="L18" s="74"/>
      <c r="M18" s="40"/>
      <c r="N18" s="74">
        <v>100</v>
      </c>
      <c r="O18" s="40" t="s">
        <v>120</v>
      </c>
      <c r="P18" s="74"/>
      <c r="Q18" s="40"/>
      <c r="R18" s="74"/>
      <c r="S18" s="40"/>
      <c r="T18" s="74"/>
      <c r="U18" s="40"/>
      <c r="V18" s="74"/>
      <c r="W18" s="76"/>
    </row>
    <row r="19" spans="1:23" s="50" customFormat="1" ht="15" x14ac:dyDescent="0.25">
      <c r="A19" s="232" t="s">
        <v>130</v>
      </c>
      <c r="B19" s="77"/>
      <c r="C19" s="77"/>
      <c r="D19" s="77"/>
      <c r="E19" s="77"/>
      <c r="F19" s="77"/>
      <c r="G19" s="77"/>
      <c r="H19" s="77"/>
      <c r="I19" s="77"/>
      <c r="J19" s="78">
        <v>100</v>
      </c>
      <c r="K19" s="77" t="s">
        <v>120</v>
      </c>
      <c r="L19" s="78"/>
      <c r="M19" s="77"/>
      <c r="N19" s="78">
        <v>100</v>
      </c>
      <c r="O19" s="77" t="s">
        <v>120</v>
      </c>
      <c r="P19" s="74"/>
      <c r="Q19" s="40"/>
      <c r="R19" s="74"/>
      <c r="S19" s="40"/>
      <c r="T19" s="74"/>
      <c r="U19" s="40"/>
      <c r="V19" s="74"/>
      <c r="W19" s="76"/>
    </row>
    <row r="20" spans="1:23" s="50" customFormat="1" ht="13.5" thickBot="1" x14ac:dyDescent="0.25">
      <c r="A20" s="81" t="s">
        <v>128</v>
      </c>
      <c r="B20" s="82"/>
      <c r="C20" s="82"/>
      <c r="D20" s="82"/>
      <c r="E20" s="82"/>
      <c r="F20" s="82"/>
      <c r="G20" s="82"/>
      <c r="H20" s="82"/>
      <c r="I20" s="82"/>
      <c r="J20" s="83">
        <v>10</v>
      </c>
      <c r="K20" s="82" t="s">
        <v>126</v>
      </c>
      <c r="L20" s="83"/>
      <c r="M20" s="82"/>
      <c r="N20" s="83">
        <v>10</v>
      </c>
      <c r="O20" s="82" t="s">
        <v>126</v>
      </c>
      <c r="P20" s="74"/>
      <c r="Q20" s="40"/>
      <c r="R20" s="74"/>
      <c r="S20" s="40"/>
      <c r="T20" s="74"/>
      <c r="U20" s="40"/>
      <c r="V20" s="74"/>
      <c r="W20" s="76"/>
    </row>
    <row r="21" spans="1:23" s="50" customFormat="1" ht="16.5" thickTop="1" x14ac:dyDescent="0.25">
      <c r="A21" s="86" t="s">
        <v>131</v>
      </c>
      <c r="B21" s="40"/>
      <c r="C21" s="40"/>
      <c r="D21" s="40"/>
      <c r="E21" s="40"/>
      <c r="F21" s="40"/>
      <c r="G21" s="40"/>
      <c r="H21" s="40"/>
      <c r="I21" s="40"/>
      <c r="J21" s="40"/>
      <c r="K21" s="40"/>
      <c r="L21" s="40"/>
      <c r="M21" s="40"/>
      <c r="N21" s="40"/>
      <c r="O21" s="40"/>
      <c r="P21" s="74"/>
      <c r="Q21" s="40"/>
      <c r="R21" s="74"/>
      <c r="S21" s="40"/>
      <c r="T21" s="74"/>
      <c r="U21" s="40"/>
      <c r="V21" s="74"/>
      <c r="W21" s="76"/>
    </row>
    <row r="22" spans="1:23" s="50" customFormat="1" x14ac:dyDescent="0.2">
      <c r="A22" s="87" t="s">
        <v>132</v>
      </c>
      <c r="B22" s="40"/>
      <c r="C22" s="40"/>
      <c r="D22" s="40"/>
      <c r="E22" s="40"/>
      <c r="F22" s="40"/>
      <c r="G22" s="40"/>
      <c r="H22" s="40"/>
      <c r="I22" s="40"/>
      <c r="J22" s="40"/>
      <c r="K22" s="40"/>
      <c r="L22" s="40"/>
      <c r="M22" s="40"/>
      <c r="N22" s="40"/>
      <c r="O22" s="40"/>
      <c r="P22" s="74"/>
      <c r="Q22" s="40"/>
      <c r="R22" s="74"/>
      <c r="S22" s="40"/>
      <c r="T22" s="74"/>
      <c r="U22" s="75"/>
      <c r="V22" s="74"/>
      <c r="W22" s="76"/>
    </row>
    <row r="23" spans="1:23" s="50" customFormat="1" x14ac:dyDescent="0.2">
      <c r="A23" s="87" t="s">
        <v>133</v>
      </c>
      <c r="B23" s="40"/>
      <c r="C23" s="40"/>
      <c r="D23" s="40"/>
      <c r="E23" s="40"/>
      <c r="F23" s="40"/>
      <c r="G23" s="40"/>
      <c r="H23" s="40"/>
      <c r="I23" s="40"/>
      <c r="J23" s="40"/>
      <c r="K23" s="40"/>
      <c r="L23" s="40"/>
      <c r="M23" s="40"/>
      <c r="N23" s="40"/>
      <c r="O23" s="40"/>
      <c r="P23" s="74"/>
      <c r="Q23" s="40"/>
      <c r="R23" s="74"/>
      <c r="S23" s="40"/>
      <c r="T23" s="74"/>
      <c r="U23" s="75"/>
      <c r="V23" s="74"/>
      <c r="W23" s="76"/>
    </row>
    <row r="24" spans="1:23" s="50" customFormat="1" x14ac:dyDescent="0.2">
      <c r="A24" s="87"/>
      <c r="B24" s="40"/>
      <c r="C24" s="40"/>
      <c r="D24" s="40"/>
      <c r="E24" s="40"/>
      <c r="F24" s="40"/>
      <c r="G24" s="40"/>
      <c r="H24" s="40"/>
      <c r="I24" s="40"/>
      <c r="J24" s="40"/>
      <c r="K24" s="40"/>
      <c r="L24" s="40"/>
      <c r="M24" s="40"/>
      <c r="N24" s="40"/>
      <c r="O24" s="40"/>
      <c r="P24" s="74"/>
      <c r="Q24" s="40"/>
      <c r="R24" s="74"/>
      <c r="S24" s="40"/>
      <c r="T24" s="74"/>
      <c r="U24" s="75"/>
      <c r="V24" s="74"/>
      <c r="W24" s="76"/>
    </row>
    <row r="25" spans="1:23" s="50" customFormat="1" x14ac:dyDescent="0.2">
      <c r="A25" s="73"/>
      <c r="B25" s="40"/>
      <c r="C25" s="40"/>
      <c r="D25" s="40"/>
      <c r="E25" s="40"/>
      <c r="F25" s="40"/>
      <c r="G25" s="40"/>
      <c r="H25" s="40"/>
      <c r="I25" s="40"/>
      <c r="J25" s="40"/>
      <c r="K25" s="40"/>
      <c r="L25" s="40"/>
      <c r="M25" s="40"/>
      <c r="N25" s="40"/>
      <c r="O25" s="40"/>
      <c r="P25" s="74"/>
      <c r="Q25" s="40"/>
      <c r="R25" s="74"/>
      <c r="S25" s="40"/>
      <c r="T25" s="74"/>
      <c r="U25" s="75"/>
      <c r="V25" s="74"/>
      <c r="W25" s="76"/>
    </row>
    <row r="26" spans="1:23" s="50" customFormat="1" x14ac:dyDescent="0.2">
      <c r="A26" s="88" t="s">
        <v>134</v>
      </c>
      <c r="B26" s="40"/>
      <c r="C26" s="40"/>
      <c r="D26" s="40"/>
      <c r="E26" s="40"/>
      <c r="F26" s="40"/>
      <c r="G26" s="40"/>
      <c r="H26" s="40"/>
      <c r="I26" s="40"/>
      <c r="J26" s="40"/>
      <c r="K26" s="40"/>
      <c r="L26" s="40"/>
      <c r="M26" s="40"/>
      <c r="N26" s="40"/>
      <c r="O26" s="40"/>
      <c r="P26" s="74"/>
      <c r="Q26" s="40"/>
      <c r="R26" s="74"/>
      <c r="S26" s="40"/>
      <c r="T26" s="74"/>
      <c r="U26" s="75"/>
      <c r="V26" s="74"/>
      <c r="W26" s="76"/>
    </row>
    <row r="27" spans="1:23" s="50" customFormat="1" ht="15" x14ac:dyDescent="0.25">
      <c r="A27" s="232" t="str">
        <f>'[1]Materials and stock solutions'!A128</f>
        <v>Angiotensin l stock solution (1 nmol/µl)</v>
      </c>
      <c r="B27" s="89"/>
      <c r="C27" s="89"/>
      <c r="D27" s="89"/>
      <c r="E27" s="89"/>
      <c r="F27" s="77"/>
      <c r="G27" s="77"/>
      <c r="H27" s="77"/>
      <c r="I27" s="77"/>
      <c r="J27" s="77"/>
      <c r="K27" s="77"/>
      <c r="L27" s="77"/>
      <c r="M27" s="77"/>
      <c r="N27" s="77"/>
      <c r="O27" s="77"/>
      <c r="P27" s="78">
        <v>1</v>
      </c>
      <c r="Q27" s="77" t="s">
        <v>120</v>
      </c>
      <c r="R27" s="74"/>
      <c r="S27" s="40"/>
      <c r="T27" s="74"/>
      <c r="V27" s="74"/>
      <c r="W27" s="76"/>
    </row>
    <row r="28" spans="1:23" s="50" customFormat="1" x14ac:dyDescent="0.2">
      <c r="A28" s="73" t="s">
        <v>135</v>
      </c>
      <c r="B28" s="40"/>
      <c r="C28" s="40"/>
      <c r="D28" s="40"/>
      <c r="E28" s="40"/>
      <c r="F28" s="40"/>
      <c r="G28" s="40"/>
      <c r="H28" s="40"/>
      <c r="I28" s="40"/>
      <c r="J28" s="40"/>
      <c r="K28" s="40"/>
      <c r="L28" s="40"/>
      <c r="M28" s="40"/>
      <c r="N28" s="40"/>
      <c r="O28" s="40"/>
      <c r="P28" s="90">
        <v>999</v>
      </c>
      <c r="Q28" s="40" t="s">
        <v>120</v>
      </c>
      <c r="R28" s="74"/>
      <c r="S28" s="40"/>
      <c r="T28" s="74"/>
      <c r="V28" s="74"/>
      <c r="W28" s="76"/>
    </row>
    <row r="29" spans="1:23" s="50" customFormat="1" ht="13.5" thickBot="1" x14ac:dyDescent="0.25">
      <c r="A29" s="81" t="s">
        <v>128</v>
      </c>
      <c r="B29" s="82"/>
      <c r="C29" s="82"/>
      <c r="D29" s="82"/>
      <c r="E29" s="82"/>
      <c r="F29" s="82"/>
      <c r="G29" s="82"/>
      <c r="H29" s="82"/>
      <c r="I29" s="82"/>
      <c r="J29" s="82"/>
      <c r="K29" s="82"/>
      <c r="L29" s="82"/>
      <c r="M29" s="82"/>
      <c r="N29" s="82"/>
      <c r="O29" s="82"/>
      <c r="P29" s="83">
        <v>1000</v>
      </c>
      <c r="Q29" s="82" t="s">
        <v>120</v>
      </c>
      <c r="R29" s="74"/>
      <c r="S29" s="40"/>
      <c r="T29" s="74"/>
      <c r="U29" s="40"/>
      <c r="V29" s="74"/>
      <c r="W29" s="76"/>
    </row>
    <row r="30" spans="1:23" s="50" customFormat="1" ht="16.5" thickTop="1" x14ac:dyDescent="0.25">
      <c r="A30" s="73" t="s">
        <v>136</v>
      </c>
      <c r="B30" s="40"/>
      <c r="C30" s="40"/>
      <c r="D30" s="40"/>
      <c r="E30" s="40"/>
      <c r="F30" s="40"/>
      <c r="G30" s="40"/>
      <c r="H30" s="40"/>
      <c r="I30" s="40"/>
      <c r="J30" s="40"/>
      <c r="K30" s="40"/>
      <c r="L30" s="40"/>
      <c r="M30" s="40"/>
      <c r="N30" s="40"/>
      <c r="O30" s="40"/>
      <c r="P30" s="40"/>
      <c r="Q30" s="40"/>
      <c r="R30" s="74"/>
      <c r="S30" s="40"/>
      <c r="T30" s="74"/>
      <c r="U30" s="40"/>
      <c r="V30" s="74"/>
      <c r="W30" s="76"/>
    </row>
    <row r="31" spans="1:23" s="50" customFormat="1" x14ac:dyDescent="0.2">
      <c r="A31" s="73"/>
      <c r="B31" s="40"/>
      <c r="C31" s="40"/>
      <c r="D31" s="40"/>
      <c r="E31" s="40"/>
      <c r="F31" s="40"/>
      <c r="G31" s="40"/>
      <c r="H31" s="40"/>
      <c r="I31" s="40"/>
      <c r="J31" s="40"/>
      <c r="K31" s="40"/>
      <c r="L31" s="40"/>
      <c r="M31" s="40"/>
      <c r="N31" s="40"/>
      <c r="O31" s="40"/>
      <c r="P31" s="40"/>
      <c r="Q31" s="40"/>
      <c r="R31" s="74"/>
      <c r="S31" s="40"/>
      <c r="T31" s="74"/>
      <c r="U31" s="40"/>
      <c r="V31" s="74"/>
      <c r="W31" s="76"/>
    </row>
    <row r="32" spans="1:23" s="50" customFormat="1" x14ac:dyDescent="0.2">
      <c r="A32" s="73"/>
      <c r="B32" s="40"/>
      <c r="C32" s="40"/>
      <c r="D32" s="40"/>
      <c r="E32" s="40"/>
      <c r="F32" s="40"/>
      <c r="G32" s="40"/>
      <c r="H32" s="40"/>
      <c r="I32" s="40"/>
      <c r="J32" s="40"/>
      <c r="K32" s="40"/>
      <c r="L32" s="40"/>
      <c r="M32" s="40"/>
      <c r="N32" s="40"/>
      <c r="O32" s="40"/>
      <c r="P32" s="40"/>
      <c r="Q32" s="40"/>
      <c r="R32" s="74"/>
      <c r="S32" s="40"/>
      <c r="T32" s="74"/>
      <c r="U32" s="40"/>
      <c r="V32" s="74"/>
      <c r="W32" s="76"/>
    </row>
    <row r="33" spans="1:23" s="50" customFormat="1" x14ac:dyDescent="0.2">
      <c r="A33" s="88" t="s">
        <v>137</v>
      </c>
      <c r="B33" s="40"/>
      <c r="C33" s="40"/>
      <c r="D33" s="40"/>
      <c r="E33" s="40"/>
      <c r="F33" s="40"/>
      <c r="G33" s="40"/>
      <c r="H33" s="40"/>
      <c r="I33" s="40"/>
      <c r="J33" s="40"/>
      <c r="K33" s="40"/>
      <c r="L33" s="40"/>
      <c r="M33" s="40"/>
      <c r="N33" s="40"/>
      <c r="O33" s="40"/>
      <c r="R33" s="74"/>
      <c r="S33" s="40"/>
      <c r="T33" s="74"/>
      <c r="U33" s="75"/>
      <c r="V33" s="74"/>
      <c r="W33" s="76"/>
    </row>
    <row r="34" spans="1:23" s="50" customFormat="1" ht="15" x14ac:dyDescent="0.25">
      <c r="A34" s="232" t="s">
        <v>138</v>
      </c>
      <c r="B34" s="89"/>
      <c r="C34" s="89"/>
      <c r="D34" s="89"/>
      <c r="E34" s="89"/>
      <c r="F34" s="77"/>
      <c r="G34" s="77"/>
      <c r="H34" s="77"/>
      <c r="I34" s="77"/>
      <c r="J34" s="77"/>
      <c r="K34" s="77"/>
      <c r="L34" s="77"/>
      <c r="M34" s="77"/>
      <c r="N34" s="77"/>
      <c r="O34" s="77"/>
      <c r="P34" s="77"/>
      <c r="Q34" s="77"/>
      <c r="R34" s="78">
        <v>200</v>
      </c>
      <c r="S34" s="79" t="s">
        <v>120</v>
      </c>
      <c r="V34" s="74"/>
      <c r="W34" s="76"/>
    </row>
    <row r="35" spans="1:23" s="50" customFormat="1" x14ac:dyDescent="0.2">
      <c r="A35" s="73" t="s">
        <v>139</v>
      </c>
      <c r="B35" s="40"/>
      <c r="C35" s="40"/>
      <c r="D35" s="40"/>
      <c r="E35" s="40"/>
      <c r="F35" s="40"/>
      <c r="G35" s="40"/>
      <c r="H35" s="40"/>
      <c r="I35" s="40"/>
      <c r="J35" s="40"/>
      <c r="K35" s="40"/>
      <c r="L35" s="40"/>
      <c r="M35" s="40"/>
      <c r="N35" s="40"/>
      <c r="O35" s="40"/>
      <c r="P35" s="40"/>
      <c r="Q35" s="40"/>
      <c r="R35" s="74">
        <v>19.8</v>
      </c>
      <c r="S35" s="75" t="s">
        <v>126</v>
      </c>
      <c r="V35" s="74"/>
      <c r="W35" s="76"/>
    </row>
    <row r="36" spans="1:23" s="50" customFormat="1" x14ac:dyDescent="0.2">
      <c r="A36" s="80" t="s">
        <v>140</v>
      </c>
      <c r="B36" s="77"/>
      <c r="C36" s="77"/>
      <c r="D36" s="77"/>
      <c r="E36" s="77"/>
      <c r="F36" s="77"/>
      <c r="G36" s="77"/>
      <c r="H36" s="77"/>
      <c r="I36" s="77"/>
      <c r="J36" s="77"/>
      <c r="K36" s="77"/>
      <c r="L36" s="77"/>
      <c r="M36" s="77"/>
      <c r="N36" s="77"/>
      <c r="O36" s="77"/>
      <c r="P36" s="77"/>
      <c r="Q36" s="77"/>
      <c r="R36" s="78">
        <v>20</v>
      </c>
      <c r="S36" s="79" t="s">
        <v>120</v>
      </c>
      <c r="V36" s="74"/>
      <c r="W36" s="76"/>
    </row>
    <row r="37" spans="1:23" s="50" customFormat="1" ht="13.5" thickBot="1" x14ac:dyDescent="0.25">
      <c r="A37" s="81" t="s">
        <v>128</v>
      </c>
      <c r="B37" s="82"/>
      <c r="C37" s="82"/>
      <c r="D37" s="82"/>
      <c r="E37" s="82"/>
      <c r="F37" s="82"/>
      <c r="G37" s="82"/>
      <c r="H37" s="82"/>
      <c r="I37" s="82"/>
      <c r="J37" s="82"/>
      <c r="K37" s="82"/>
      <c r="L37" s="82"/>
      <c r="M37" s="82"/>
      <c r="N37" s="82"/>
      <c r="O37" s="82"/>
      <c r="P37" s="82"/>
      <c r="Q37" s="82"/>
      <c r="R37" s="83">
        <v>20</v>
      </c>
      <c r="S37" s="82" t="s">
        <v>126</v>
      </c>
      <c r="T37" s="74"/>
      <c r="U37" s="40"/>
      <c r="V37" s="74"/>
      <c r="W37" s="76"/>
    </row>
    <row r="38" spans="1:23" s="50" customFormat="1" ht="13.5" thickTop="1" x14ac:dyDescent="0.2">
      <c r="A38" s="73" t="s">
        <v>141</v>
      </c>
      <c r="B38" s="40"/>
      <c r="C38" s="40"/>
      <c r="D38" s="40"/>
      <c r="E38" s="40"/>
      <c r="F38" s="40"/>
      <c r="G38" s="40"/>
      <c r="H38" s="40"/>
      <c r="I38" s="40"/>
      <c r="J38" s="40"/>
      <c r="K38" s="40"/>
      <c r="L38" s="40"/>
      <c r="M38" s="40"/>
      <c r="N38" s="40"/>
      <c r="O38" s="40"/>
      <c r="P38" s="40"/>
      <c r="Q38" s="40"/>
      <c r="R38" s="40"/>
      <c r="S38" s="40"/>
      <c r="T38" s="74"/>
      <c r="U38" s="40"/>
      <c r="V38" s="74"/>
      <c r="W38" s="76"/>
    </row>
    <row r="39" spans="1:23" s="50" customFormat="1" ht="15.75" x14ac:dyDescent="0.25">
      <c r="A39" s="73" t="s">
        <v>142</v>
      </c>
      <c r="B39" s="40"/>
      <c r="C39" s="40"/>
      <c r="D39" s="40"/>
      <c r="E39" s="40"/>
      <c r="F39" s="40"/>
      <c r="G39" s="40"/>
      <c r="H39" s="40"/>
      <c r="I39" s="40"/>
      <c r="J39" s="40"/>
      <c r="K39" s="40"/>
      <c r="L39" s="40"/>
      <c r="M39" s="40"/>
      <c r="N39" s="40"/>
      <c r="O39" s="40"/>
      <c r="P39" s="40"/>
      <c r="Q39" s="40"/>
      <c r="R39" s="40"/>
      <c r="S39" s="40"/>
      <c r="T39" s="74"/>
      <c r="U39" s="75"/>
      <c r="V39" s="74"/>
      <c r="W39" s="76"/>
    </row>
    <row r="40" spans="1:23" s="50" customFormat="1" x14ac:dyDescent="0.2">
      <c r="B40" s="40"/>
      <c r="C40" s="40"/>
      <c r="D40" s="40"/>
      <c r="E40" s="40"/>
      <c r="F40" s="40"/>
      <c r="G40" s="40"/>
      <c r="H40" s="40"/>
      <c r="I40" s="40"/>
      <c r="J40" s="40"/>
      <c r="K40" s="40"/>
      <c r="L40" s="40"/>
      <c r="M40" s="40"/>
      <c r="N40" s="40"/>
      <c r="O40" s="40"/>
      <c r="P40" s="40"/>
      <c r="Q40" s="40"/>
      <c r="R40" s="40"/>
      <c r="S40" s="40"/>
      <c r="T40" s="74"/>
      <c r="U40" s="75"/>
      <c r="V40" s="74"/>
      <c r="W40" s="76"/>
    </row>
    <row r="41" spans="1:23" s="50" customFormat="1" x14ac:dyDescent="0.2">
      <c r="A41" s="88" t="s">
        <v>143</v>
      </c>
      <c r="B41" s="40"/>
      <c r="C41" s="40"/>
      <c r="D41" s="40"/>
      <c r="E41" s="40"/>
      <c r="F41" s="40"/>
      <c r="G41" s="40"/>
      <c r="H41" s="40"/>
      <c r="I41" s="40"/>
      <c r="J41" s="40"/>
      <c r="K41" s="40"/>
      <c r="L41" s="40"/>
      <c r="M41" s="40"/>
      <c r="N41" s="40"/>
      <c r="O41" s="40"/>
      <c r="P41" s="40"/>
      <c r="Q41" s="40"/>
      <c r="R41" s="40"/>
      <c r="S41" s="40"/>
      <c r="T41" s="74"/>
      <c r="U41" s="75"/>
      <c r="V41" s="74"/>
      <c r="W41" s="76"/>
    </row>
    <row r="42" spans="1:23" s="50" customFormat="1" ht="15" x14ac:dyDescent="0.25">
      <c r="A42" s="232" t="s">
        <v>144</v>
      </c>
      <c r="B42" s="89"/>
      <c r="C42" s="89"/>
      <c r="D42" s="89"/>
      <c r="E42" s="89"/>
      <c r="F42" s="77"/>
      <c r="G42" s="77"/>
      <c r="H42" s="77"/>
      <c r="I42" s="77"/>
      <c r="J42" s="77"/>
      <c r="K42" s="77"/>
      <c r="L42" s="77"/>
      <c r="M42" s="77"/>
      <c r="N42" s="77"/>
      <c r="O42" s="77"/>
      <c r="P42" s="77"/>
      <c r="Q42" s="77"/>
      <c r="R42" s="77"/>
      <c r="S42" s="77"/>
      <c r="T42" s="78">
        <v>2</v>
      </c>
      <c r="U42" s="79" t="s">
        <v>120</v>
      </c>
      <c r="V42" s="74"/>
      <c r="W42" s="76"/>
    </row>
    <row r="43" spans="1:23" s="50" customFormat="1" x14ac:dyDescent="0.2">
      <c r="A43" s="73" t="s">
        <v>145</v>
      </c>
      <c r="B43" s="40"/>
      <c r="C43" s="40"/>
      <c r="D43" s="40"/>
      <c r="E43" s="40"/>
      <c r="F43" s="40"/>
      <c r="G43" s="40"/>
      <c r="H43" s="40"/>
      <c r="I43" s="40"/>
      <c r="J43" s="40"/>
      <c r="K43" s="40"/>
      <c r="L43" s="40"/>
      <c r="M43" s="40"/>
      <c r="N43" s="40"/>
      <c r="O43" s="40"/>
      <c r="P43" s="40"/>
      <c r="Q43" s="40"/>
      <c r="R43" s="40"/>
      <c r="S43" s="40"/>
      <c r="T43" s="74">
        <v>998</v>
      </c>
      <c r="U43" s="75" t="s">
        <v>120</v>
      </c>
      <c r="V43" s="74"/>
      <c r="W43" s="76"/>
    </row>
    <row r="44" spans="1:23" s="50" customFormat="1" ht="13.5" thickBot="1" x14ac:dyDescent="0.25">
      <c r="A44" s="81" t="s">
        <v>128</v>
      </c>
      <c r="B44" s="82"/>
      <c r="C44" s="82"/>
      <c r="D44" s="82"/>
      <c r="E44" s="82"/>
      <c r="F44" s="82"/>
      <c r="G44" s="82"/>
      <c r="H44" s="82"/>
      <c r="I44" s="82"/>
      <c r="J44" s="82"/>
      <c r="K44" s="82"/>
      <c r="L44" s="82"/>
      <c r="M44" s="82"/>
      <c r="N44" s="82"/>
      <c r="O44" s="82"/>
      <c r="P44" s="82"/>
      <c r="Q44" s="82"/>
      <c r="R44" s="82"/>
      <c r="S44" s="82"/>
      <c r="T44" s="83">
        <v>1000</v>
      </c>
      <c r="U44" s="84" t="s">
        <v>120</v>
      </c>
      <c r="V44" s="83"/>
      <c r="W44" s="91"/>
    </row>
    <row r="45" spans="1:23" s="50" customFormat="1" ht="16.5" thickTop="1" x14ac:dyDescent="0.25">
      <c r="A45" s="73" t="s">
        <v>136</v>
      </c>
      <c r="B45" s="40"/>
      <c r="C45" s="40"/>
      <c r="D45" s="40"/>
      <c r="E45" s="40"/>
      <c r="F45" s="40"/>
      <c r="G45" s="40"/>
      <c r="H45" s="40"/>
      <c r="I45" s="40"/>
      <c r="J45" s="40"/>
      <c r="K45" s="40"/>
      <c r="L45" s="40"/>
      <c r="M45" s="40"/>
      <c r="N45" s="40"/>
      <c r="O45" s="40"/>
      <c r="P45" s="40"/>
      <c r="Q45" s="40"/>
      <c r="R45" s="40"/>
      <c r="S45" s="40"/>
      <c r="T45" s="40"/>
      <c r="U45" s="75"/>
      <c r="V45" s="74"/>
      <c r="W45" s="76"/>
    </row>
    <row r="46" spans="1:23" s="50" customFormat="1" x14ac:dyDescent="0.2">
      <c r="A46" s="73"/>
      <c r="B46" s="40"/>
      <c r="C46" s="40"/>
      <c r="D46" s="40"/>
      <c r="E46" s="40"/>
      <c r="F46" s="40"/>
      <c r="G46" s="40"/>
      <c r="H46" s="40"/>
      <c r="I46" s="40"/>
      <c r="J46" s="40"/>
      <c r="K46" s="40"/>
      <c r="L46" s="40"/>
      <c r="M46" s="40"/>
      <c r="N46" s="40"/>
      <c r="O46" s="40"/>
      <c r="P46" s="40"/>
      <c r="Q46" s="40"/>
      <c r="R46" s="40"/>
      <c r="S46" s="40"/>
      <c r="T46" s="40"/>
      <c r="U46" s="75"/>
      <c r="V46" s="74"/>
      <c r="W46" s="76"/>
    </row>
    <row r="47" spans="1:23" s="50" customFormat="1" x14ac:dyDescent="0.2">
      <c r="A47" s="73"/>
      <c r="B47" s="40"/>
      <c r="C47" s="40"/>
      <c r="D47" s="40"/>
      <c r="E47" s="40"/>
      <c r="F47" s="40"/>
      <c r="G47" s="40"/>
      <c r="H47" s="40"/>
      <c r="I47" s="40"/>
      <c r="J47" s="40"/>
      <c r="K47" s="40"/>
      <c r="L47" s="40"/>
      <c r="M47" s="40"/>
      <c r="N47" s="40"/>
      <c r="O47" s="40"/>
      <c r="P47" s="40"/>
      <c r="Q47" s="40"/>
      <c r="R47" s="40"/>
      <c r="S47" s="40"/>
      <c r="T47" s="40"/>
      <c r="U47" s="75"/>
      <c r="V47" s="74"/>
      <c r="W47" s="76"/>
    </row>
    <row r="48" spans="1:23" s="50" customFormat="1" x14ac:dyDescent="0.2">
      <c r="A48" s="88" t="s">
        <v>146</v>
      </c>
      <c r="B48" s="92"/>
      <c r="C48" s="92"/>
      <c r="D48" s="92"/>
      <c r="E48" s="92"/>
      <c r="F48" s="40"/>
      <c r="G48" s="40"/>
      <c r="H48" s="40"/>
      <c r="I48" s="40"/>
      <c r="J48" s="40"/>
      <c r="K48" s="40"/>
      <c r="L48" s="40"/>
      <c r="M48" s="40"/>
      <c r="N48" s="40"/>
      <c r="O48" s="40"/>
      <c r="P48" s="40"/>
      <c r="Q48" s="40"/>
      <c r="R48" s="40"/>
      <c r="S48" s="40"/>
      <c r="T48" s="40"/>
      <c r="U48" s="75"/>
      <c r="V48" s="74"/>
      <c r="W48" s="76"/>
    </row>
    <row r="49" spans="1:23" s="50" customFormat="1" x14ac:dyDescent="0.2">
      <c r="A49" s="73" t="s">
        <v>147</v>
      </c>
      <c r="B49" s="40"/>
      <c r="C49" s="93" t="s">
        <v>148</v>
      </c>
      <c r="D49" s="40"/>
      <c r="E49" s="40"/>
      <c r="F49" s="40"/>
      <c r="G49" s="40"/>
      <c r="H49" s="40"/>
      <c r="I49" s="40"/>
      <c r="J49" s="40"/>
      <c r="K49" s="40"/>
      <c r="L49" s="40"/>
      <c r="M49" s="40"/>
      <c r="N49" s="40"/>
      <c r="O49" s="40"/>
      <c r="P49" s="40"/>
      <c r="Q49" s="40"/>
      <c r="R49" s="40"/>
      <c r="S49" s="40"/>
      <c r="T49" s="40"/>
      <c r="U49" s="75"/>
      <c r="V49" s="74">
        <v>0.25</v>
      </c>
      <c r="W49" s="76" t="s">
        <v>126</v>
      </c>
    </row>
    <row r="50" spans="1:23" s="50" customFormat="1" x14ac:dyDescent="0.2">
      <c r="A50" s="80" t="s">
        <v>149</v>
      </c>
      <c r="B50" s="77"/>
      <c r="C50" s="94" t="s">
        <v>150</v>
      </c>
      <c r="D50" s="77"/>
      <c r="E50" s="77"/>
      <c r="F50" s="77"/>
      <c r="G50" s="77"/>
      <c r="H50" s="77"/>
      <c r="I50" s="77"/>
      <c r="J50" s="77"/>
      <c r="K50" s="77"/>
      <c r="L50" s="77"/>
      <c r="M50" s="77"/>
      <c r="N50" s="77"/>
      <c r="O50" s="77"/>
      <c r="P50" s="77"/>
      <c r="Q50" s="77"/>
      <c r="R50" s="77"/>
      <c r="S50" s="77"/>
      <c r="T50" s="77"/>
      <c r="U50" s="79"/>
      <c r="V50" s="78">
        <v>1</v>
      </c>
      <c r="W50" s="95" t="s">
        <v>126</v>
      </c>
    </row>
    <row r="51" spans="1:23" s="50" customFormat="1" x14ac:dyDescent="0.2">
      <c r="A51" s="73" t="s">
        <v>151</v>
      </c>
      <c r="B51" s="40"/>
      <c r="C51" s="93" t="s">
        <v>152</v>
      </c>
      <c r="D51" s="40"/>
      <c r="E51" s="40"/>
      <c r="F51" s="40"/>
      <c r="G51" s="40"/>
      <c r="H51" s="40"/>
      <c r="I51" s="40"/>
      <c r="J51" s="40"/>
      <c r="K51" s="40"/>
      <c r="L51" s="40"/>
      <c r="M51" s="40"/>
      <c r="N51" s="40"/>
      <c r="O51" s="40"/>
      <c r="P51" s="40"/>
      <c r="Q51" s="40"/>
      <c r="R51" s="40"/>
      <c r="S51" s="40"/>
      <c r="T51" s="40"/>
      <c r="U51" s="75"/>
      <c r="V51" s="74">
        <v>1</v>
      </c>
      <c r="W51" s="76" t="s">
        <v>126</v>
      </c>
    </row>
    <row r="52" spans="1:23" s="50" customFormat="1" x14ac:dyDescent="0.2">
      <c r="A52" s="80" t="s">
        <v>145</v>
      </c>
      <c r="B52" s="77"/>
      <c r="C52" s="77"/>
      <c r="D52" s="77"/>
      <c r="E52" s="77"/>
      <c r="F52" s="77"/>
      <c r="G52" s="77"/>
      <c r="H52" s="77"/>
      <c r="I52" s="77"/>
      <c r="J52" s="77"/>
      <c r="K52" s="77"/>
      <c r="L52" s="77"/>
      <c r="M52" s="77"/>
      <c r="N52" s="77"/>
      <c r="O52" s="77"/>
      <c r="P52" s="77"/>
      <c r="Q52" s="77"/>
      <c r="R52" s="77"/>
      <c r="S52" s="77"/>
      <c r="T52" s="77"/>
      <c r="U52" s="79"/>
      <c r="V52" s="78">
        <f>V53-V49-V50-V51</f>
        <v>22.75</v>
      </c>
      <c r="W52" s="95" t="s">
        <v>126</v>
      </c>
    </row>
    <row r="53" spans="1:23" s="50" customFormat="1" ht="13.5" thickBot="1" x14ac:dyDescent="0.25">
      <c r="A53" s="81" t="s">
        <v>128</v>
      </c>
      <c r="B53" s="82"/>
      <c r="C53" s="82"/>
      <c r="D53" s="82"/>
      <c r="E53" s="82"/>
      <c r="F53" s="82"/>
      <c r="G53" s="82"/>
      <c r="H53" s="82"/>
      <c r="I53" s="82"/>
      <c r="J53" s="82"/>
      <c r="K53" s="82"/>
      <c r="L53" s="82"/>
      <c r="M53" s="82"/>
      <c r="N53" s="82"/>
      <c r="O53" s="82"/>
      <c r="P53" s="82"/>
      <c r="Q53" s="82"/>
      <c r="R53" s="82"/>
      <c r="S53" s="82"/>
      <c r="T53" s="82"/>
      <c r="U53" s="84"/>
      <c r="V53" s="83">
        <v>25</v>
      </c>
      <c r="W53" s="91" t="s">
        <v>126</v>
      </c>
    </row>
    <row r="54" spans="1:23" s="50" customFormat="1" ht="17.25" thickTop="1" thickBot="1" x14ac:dyDescent="0.3">
      <c r="A54" s="96" t="s">
        <v>142</v>
      </c>
      <c r="B54" s="97"/>
      <c r="C54" s="97"/>
      <c r="D54" s="97"/>
      <c r="E54" s="97"/>
      <c r="F54" s="97"/>
      <c r="G54" s="97"/>
      <c r="H54" s="97"/>
      <c r="I54" s="97"/>
      <c r="J54" s="97"/>
      <c r="K54" s="97"/>
      <c r="L54" s="97"/>
      <c r="M54" s="97"/>
      <c r="N54" s="97"/>
      <c r="O54" s="97"/>
      <c r="P54" s="97"/>
      <c r="Q54" s="97"/>
      <c r="R54" s="97"/>
      <c r="S54" s="97"/>
      <c r="T54" s="97"/>
      <c r="U54" s="97"/>
      <c r="V54" s="97"/>
      <c r="W54" s="98"/>
    </row>
    <row r="58" spans="1:23" ht="18" x14ac:dyDescent="0.25">
      <c r="A58" s="99" t="s">
        <v>153</v>
      </c>
      <c r="B58" s="100"/>
      <c r="C58" s="100"/>
      <c r="D58" s="100"/>
      <c r="E58" s="100"/>
      <c r="F58" s="256" t="s">
        <v>154</v>
      </c>
      <c r="G58" s="257"/>
      <c r="H58" s="257"/>
      <c r="I58" s="258"/>
      <c r="J58" s="259" t="s">
        <v>155</v>
      </c>
      <c r="K58" s="257"/>
      <c r="L58" s="257"/>
      <c r="M58" s="258"/>
      <c r="N58" s="259" t="s">
        <v>156</v>
      </c>
      <c r="O58" s="257"/>
      <c r="P58" s="257"/>
      <c r="Q58" s="258"/>
      <c r="R58" s="256" t="s">
        <v>157</v>
      </c>
      <c r="S58" s="257"/>
      <c r="T58" s="257"/>
      <c r="U58" s="258"/>
      <c r="V58" s="92"/>
    </row>
    <row r="59" spans="1:23" x14ac:dyDescent="0.2">
      <c r="A59" s="101"/>
      <c r="B59" s="102"/>
      <c r="C59" s="102"/>
      <c r="D59" s="102"/>
      <c r="E59" s="102"/>
      <c r="F59" s="243" t="s">
        <v>158</v>
      </c>
      <c r="G59" s="244"/>
      <c r="H59" s="244"/>
      <c r="I59" s="245"/>
      <c r="J59" s="243" t="s">
        <v>159</v>
      </c>
      <c r="K59" s="244"/>
      <c r="L59" s="244"/>
      <c r="M59" s="245"/>
      <c r="N59" s="243" t="s">
        <v>160</v>
      </c>
      <c r="O59" s="244"/>
      <c r="P59" s="244"/>
      <c r="Q59" s="245"/>
      <c r="R59" s="243" t="s">
        <v>161</v>
      </c>
      <c r="S59" s="244"/>
      <c r="T59" s="244"/>
      <c r="U59" s="245"/>
      <c r="V59" s="92"/>
    </row>
    <row r="60" spans="1:23" x14ac:dyDescent="0.2">
      <c r="A60" s="101"/>
      <c r="B60" s="102"/>
      <c r="C60" s="102"/>
      <c r="D60" s="102"/>
      <c r="E60" s="102"/>
      <c r="F60" s="243" t="s">
        <v>162</v>
      </c>
      <c r="G60" s="244"/>
      <c r="H60" s="244"/>
      <c r="I60" s="245"/>
      <c r="J60" s="249" t="s">
        <v>163</v>
      </c>
      <c r="K60" s="244"/>
      <c r="L60" s="244"/>
      <c r="M60" s="245"/>
      <c r="N60" s="249" t="s">
        <v>163</v>
      </c>
      <c r="O60" s="244"/>
      <c r="P60" s="244"/>
      <c r="Q60" s="245"/>
      <c r="R60" s="243" t="s">
        <v>164</v>
      </c>
      <c r="S60" s="244"/>
      <c r="T60" s="244"/>
      <c r="U60" s="245"/>
    </row>
    <row r="61" spans="1:23" x14ac:dyDescent="0.2">
      <c r="A61" s="101"/>
      <c r="B61" s="102"/>
      <c r="C61" s="102"/>
      <c r="D61" s="102"/>
      <c r="E61" s="102"/>
      <c r="F61" s="103"/>
      <c r="G61" s="104"/>
      <c r="H61" s="104"/>
      <c r="I61" s="105"/>
      <c r="J61" s="243" t="s">
        <v>165</v>
      </c>
      <c r="K61" s="244"/>
      <c r="L61" s="244"/>
      <c r="M61" s="245"/>
      <c r="N61" s="243" t="s">
        <v>165</v>
      </c>
      <c r="O61" s="244"/>
      <c r="P61" s="244"/>
      <c r="Q61" s="245"/>
      <c r="R61" s="243" t="s">
        <v>166</v>
      </c>
      <c r="S61" s="244"/>
      <c r="T61" s="244"/>
      <c r="U61" s="245"/>
    </row>
    <row r="62" spans="1:23" x14ac:dyDescent="0.2">
      <c r="A62" s="101"/>
      <c r="B62" s="102"/>
      <c r="C62" s="102"/>
      <c r="D62" s="102"/>
      <c r="E62" s="102"/>
      <c r="F62" s="246"/>
      <c r="G62" s="247"/>
      <c r="H62" s="247"/>
      <c r="I62" s="248"/>
      <c r="J62" s="243" t="s">
        <v>167</v>
      </c>
      <c r="K62" s="244"/>
      <c r="L62" s="244"/>
      <c r="M62" s="245"/>
      <c r="N62" s="243" t="s">
        <v>167</v>
      </c>
      <c r="O62" s="244"/>
      <c r="P62" s="244"/>
      <c r="Q62" s="245"/>
      <c r="R62" s="246"/>
      <c r="S62" s="247"/>
      <c r="T62" s="247"/>
      <c r="U62" s="248"/>
    </row>
    <row r="63" spans="1:23" x14ac:dyDescent="0.2">
      <c r="A63" s="106"/>
      <c r="B63" s="107"/>
      <c r="C63" s="107"/>
      <c r="D63" s="107"/>
      <c r="E63" s="107"/>
      <c r="F63" s="234" t="s">
        <v>117</v>
      </c>
      <c r="G63" s="235"/>
      <c r="H63" s="235"/>
      <c r="I63" s="236"/>
      <c r="J63" s="234" t="s">
        <v>117</v>
      </c>
      <c r="K63" s="235"/>
      <c r="L63" s="235"/>
      <c r="M63" s="236"/>
      <c r="N63" s="237" t="s">
        <v>118</v>
      </c>
      <c r="O63" s="238"/>
      <c r="P63" s="238"/>
      <c r="Q63" s="239"/>
      <c r="R63" s="234"/>
      <c r="S63" s="235"/>
      <c r="T63" s="235"/>
      <c r="U63" s="236"/>
    </row>
    <row r="64" spans="1:23" ht="15.75" x14ac:dyDescent="0.25">
      <c r="A64" s="108"/>
      <c r="B64" s="109"/>
      <c r="C64" s="109"/>
      <c r="D64" s="109"/>
      <c r="E64" s="109"/>
      <c r="F64" s="110"/>
      <c r="G64" s="109"/>
      <c r="H64" s="109"/>
      <c r="I64" s="111"/>
      <c r="J64" s="110"/>
      <c r="K64" s="109"/>
      <c r="L64" s="109"/>
      <c r="M64" s="111"/>
      <c r="N64" s="110"/>
      <c r="O64" s="109"/>
      <c r="P64" s="109"/>
      <c r="Q64" s="111"/>
      <c r="R64" s="110"/>
      <c r="S64" s="109"/>
      <c r="T64" s="109"/>
      <c r="U64" s="111"/>
    </row>
    <row r="65" spans="1:21" x14ac:dyDescent="0.2">
      <c r="A65" s="74"/>
      <c r="F65" s="240">
        <v>88322</v>
      </c>
      <c r="G65" s="241"/>
      <c r="H65" s="241"/>
      <c r="I65" s="242"/>
      <c r="J65" s="240">
        <v>88323</v>
      </c>
      <c r="K65" s="241"/>
      <c r="L65" s="241"/>
      <c r="M65" s="242"/>
      <c r="N65" s="240">
        <v>88324</v>
      </c>
      <c r="O65" s="241"/>
      <c r="P65" s="241"/>
      <c r="Q65" s="242"/>
      <c r="R65" s="240">
        <v>88340</v>
      </c>
      <c r="S65" s="241"/>
      <c r="T65" s="241"/>
      <c r="U65" s="242"/>
    </row>
    <row r="66" spans="1:21" x14ac:dyDescent="0.2">
      <c r="A66" s="112"/>
      <c r="B66" s="113"/>
      <c r="C66" s="113"/>
      <c r="D66" s="113"/>
      <c r="E66" s="113"/>
      <c r="F66" s="90"/>
      <c r="G66" s="113"/>
      <c r="H66" s="113"/>
      <c r="I66" s="114"/>
      <c r="J66" s="90"/>
      <c r="K66" s="113"/>
      <c r="L66" s="113"/>
      <c r="M66" s="114"/>
      <c r="N66" s="90"/>
      <c r="O66" s="113"/>
      <c r="P66" s="113"/>
      <c r="Q66" s="114"/>
      <c r="R66" s="90"/>
      <c r="S66" s="113"/>
      <c r="T66" s="113"/>
      <c r="U66" s="114"/>
    </row>
  </sheetData>
  <mergeCells count="35">
    <mergeCell ref="R58:U58"/>
    <mergeCell ref="H2:K2"/>
    <mergeCell ref="L2:O2"/>
    <mergeCell ref="H3:K3"/>
    <mergeCell ref="L3:O3"/>
    <mergeCell ref="H4:K4"/>
    <mergeCell ref="L4:O4"/>
    <mergeCell ref="H5:K5"/>
    <mergeCell ref="L5:O5"/>
    <mergeCell ref="F58:I58"/>
    <mergeCell ref="J58:M58"/>
    <mergeCell ref="N58:Q58"/>
    <mergeCell ref="F59:I59"/>
    <mergeCell ref="J59:M59"/>
    <mergeCell ref="N59:Q59"/>
    <mergeCell ref="R59:U59"/>
    <mergeCell ref="F60:I60"/>
    <mergeCell ref="J60:M60"/>
    <mergeCell ref="N60:Q60"/>
    <mergeCell ref="R60:U60"/>
    <mergeCell ref="J61:M61"/>
    <mergeCell ref="N61:Q61"/>
    <mergeCell ref="R61:U61"/>
    <mergeCell ref="F62:I62"/>
    <mergeCell ref="J62:M62"/>
    <mergeCell ref="N62:Q62"/>
    <mergeCell ref="R62:U62"/>
    <mergeCell ref="F63:I63"/>
    <mergeCell ref="J63:M63"/>
    <mergeCell ref="N63:Q63"/>
    <mergeCell ref="R63:U63"/>
    <mergeCell ref="F65:I65"/>
    <mergeCell ref="J65:M65"/>
    <mergeCell ref="N65:Q65"/>
    <mergeCell ref="R65:U65"/>
  </mergeCells>
  <hyperlinks>
    <hyperlink ref="A10" location="'Materials and stock solutions'!A43" display="MRFA diluted stock solution (166.7 pmol/µl  or  0.1mg/ml)"/>
    <hyperlink ref="A9" location="'Materials and stock solutions'!A31" display="Caffeine (1mg/ml Methanol)"/>
    <hyperlink ref="A11" location="'Materials and stock solutions'!A57" display="Ultramark 1621 stock solution (1/1000 dilution)       (0.1% Ultramark in Acetonitrile)"/>
    <hyperlink ref="A18" location="'Materials and stock solutions'!A72" display="SDS 1 nmol/µl"/>
    <hyperlink ref="A19" location="'Materials and stock solutions'!A80" display="Sodium taurocholate 1 nmol/µl"/>
    <hyperlink ref="A42" location="'Materials and stock solutions'!A88" display="Substance P stock solution (1 nmol/µl)"/>
    <hyperlink ref="A12" location="'Materials and stock solutions'!A65" display="N-butylamine (5/1000 dilution) stock solution"/>
    <hyperlink ref="A27" location="'Materials and stock solutions'!A128" display="'Materials and stock solutions'!A128"/>
    <hyperlink ref="A34" location="'Materials and stock solutions'!A142" display="Enfuvirtide stock solution ( 4.4mg/ml)"/>
    <hyperlink ref="A58" r:id="rId1"/>
  </hyperlinks>
  <pageMargins left="0.25" right="0.25" top="0.75" bottom="0.75" header="0.3" footer="0.3"/>
  <pageSetup scale="96" fitToHeight="0"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151"/>
  <sheetViews>
    <sheetView workbookViewId="0">
      <pane ySplit="4" topLeftCell="A5" activePane="bottomLeft" state="frozen"/>
      <selection pane="bottomLeft" activeCell="Z18" sqref="Z18"/>
    </sheetView>
  </sheetViews>
  <sheetFormatPr defaultRowHeight="12.75" x14ac:dyDescent="0.2"/>
  <cols>
    <col min="1" max="1" width="19.7109375" style="40" customWidth="1"/>
    <col min="2" max="2" width="11.5703125" style="40" customWidth="1"/>
    <col min="3" max="3" width="16.140625" style="40" customWidth="1"/>
    <col min="4" max="4" width="7.5703125" style="40" customWidth="1"/>
    <col min="5" max="5" width="5.85546875" style="40" customWidth="1"/>
    <col min="6" max="6" width="6.5703125" style="40" customWidth="1"/>
    <col min="7" max="7" width="3.85546875" style="40" customWidth="1"/>
    <col min="8" max="8" width="6.5703125" style="40" customWidth="1"/>
    <col min="9" max="9" width="3.85546875" style="40" customWidth="1"/>
    <col min="10" max="10" width="6.5703125" style="40" customWidth="1"/>
    <col min="11" max="11" width="3.85546875" style="40" customWidth="1"/>
    <col min="12" max="12" width="6.5703125" style="40" customWidth="1"/>
    <col min="13" max="13" width="3.85546875" style="40" customWidth="1"/>
    <col min="14" max="14" width="6.5703125" style="40" customWidth="1"/>
    <col min="15" max="15" width="3.85546875" style="40" customWidth="1"/>
    <col min="16" max="16" width="6.5703125" style="40" customWidth="1"/>
    <col min="17" max="17" width="3.85546875" style="40" customWidth="1"/>
    <col min="18" max="23" width="9.140625" style="40"/>
    <col min="24" max="256" width="9.140625" style="50"/>
    <col min="257" max="257" width="19.7109375" style="50" customWidth="1"/>
    <col min="258" max="258" width="11.5703125" style="50" customWidth="1"/>
    <col min="259" max="259" width="16.140625" style="50" customWidth="1"/>
    <col min="260" max="260" width="7.5703125" style="50" customWidth="1"/>
    <col min="261" max="261" width="5.85546875" style="50" customWidth="1"/>
    <col min="262" max="262" width="6.5703125" style="50" customWidth="1"/>
    <col min="263" max="263" width="3.85546875" style="50" customWidth="1"/>
    <col min="264" max="264" width="6.5703125" style="50" customWidth="1"/>
    <col min="265" max="265" width="3.85546875" style="50" customWidth="1"/>
    <col min="266" max="266" width="6.5703125" style="50" customWidth="1"/>
    <col min="267" max="267" width="3.85546875" style="50" customWidth="1"/>
    <col min="268" max="268" width="6.5703125" style="50" customWidth="1"/>
    <col min="269" max="269" width="3.85546875" style="50" customWidth="1"/>
    <col min="270" max="270" width="6.5703125" style="50" customWidth="1"/>
    <col min="271" max="271" width="3.85546875" style="50" customWidth="1"/>
    <col min="272" max="272" width="6.5703125" style="50" customWidth="1"/>
    <col min="273" max="273" width="3.85546875" style="50" customWidth="1"/>
    <col min="274" max="512" width="9.140625" style="50"/>
    <col min="513" max="513" width="19.7109375" style="50" customWidth="1"/>
    <col min="514" max="514" width="11.5703125" style="50" customWidth="1"/>
    <col min="515" max="515" width="16.140625" style="50" customWidth="1"/>
    <col min="516" max="516" width="7.5703125" style="50" customWidth="1"/>
    <col min="517" max="517" width="5.85546875" style="50" customWidth="1"/>
    <col min="518" max="518" width="6.5703125" style="50" customWidth="1"/>
    <col min="519" max="519" width="3.85546875" style="50" customWidth="1"/>
    <col min="520" max="520" width="6.5703125" style="50" customWidth="1"/>
    <col min="521" max="521" width="3.85546875" style="50" customWidth="1"/>
    <col min="522" max="522" width="6.5703125" style="50" customWidth="1"/>
    <col min="523" max="523" width="3.85546875" style="50" customWidth="1"/>
    <col min="524" max="524" width="6.5703125" style="50" customWidth="1"/>
    <col min="525" max="525" width="3.85546875" style="50" customWidth="1"/>
    <col min="526" max="526" width="6.5703125" style="50" customWidth="1"/>
    <col min="527" max="527" width="3.85546875" style="50" customWidth="1"/>
    <col min="528" max="528" width="6.5703125" style="50" customWidth="1"/>
    <col min="529" max="529" width="3.85546875" style="50" customWidth="1"/>
    <col min="530" max="768" width="9.140625" style="50"/>
    <col min="769" max="769" width="19.7109375" style="50" customWidth="1"/>
    <col min="770" max="770" width="11.5703125" style="50" customWidth="1"/>
    <col min="771" max="771" width="16.140625" style="50" customWidth="1"/>
    <col min="772" max="772" width="7.5703125" style="50" customWidth="1"/>
    <col min="773" max="773" width="5.85546875" style="50" customWidth="1"/>
    <col min="774" max="774" width="6.5703125" style="50" customWidth="1"/>
    <col min="775" max="775" width="3.85546875" style="50" customWidth="1"/>
    <col min="776" max="776" width="6.5703125" style="50" customWidth="1"/>
    <col min="777" max="777" width="3.85546875" style="50" customWidth="1"/>
    <col min="778" max="778" width="6.5703125" style="50" customWidth="1"/>
    <col min="779" max="779" width="3.85546875" style="50" customWidth="1"/>
    <col min="780" max="780" width="6.5703125" style="50" customWidth="1"/>
    <col min="781" max="781" width="3.85546875" style="50" customWidth="1"/>
    <col min="782" max="782" width="6.5703125" style="50" customWidth="1"/>
    <col min="783" max="783" width="3.85546875" style="50" customWidth="1"/>
    <col min="784" max="784" width="6.5703125" style="50" customWidth="1"/>
    <col min="785" max="785" width="3.85546875" style="50" customWidth="1"/>
    <col min="786" max="1024" width="9.140625" style="50"/>
    <col min="1025" max="1025" width="19.7109375" style="50" customWidth="1"/>
    <col min="1026" max="1026" width="11.5703125" style="50" customWidth="1"/>
    <col min="1027" max="1027" width="16.140625" style="50" customWidth="1"/>
    <col min="1028" max="1028" width="7.5703125" style="50" customWidth="1"/>
    <col min="1029" max="1029" width="5.85546875" style="50" customWidth="1"/>
    <col min="1030" max="1030" width="6.5703125" style="50" customWidth="1"/>
    <col min="1031" max="1031" width="3.85546875" style="50" customWidth="1"/>
    <col min="1032" max="1032" width="6.5703125" style="50" customWidth="1"/>
    <col min="1033" max="1033" width="3.85546875" style="50" customWidth="1"/>
    <col min="1034" max="1034" width="6.5703125" style="50" customWidth="1"/>
    <col min="1035" max="1035" width="3.85546875" style="50" customWidth="1"/>
    <col min="1036" max="1036" width="6.5703125" style="50" customWidth="1"/>
    <col min="1037" max="1037" width="3.85546875" style="50" customWidth="1"/>
    <col min="1038" max="1038" width="6.5703125" style="50" customWidth="1"/>
    <col min="1039" max="1039" width="3.85546875" style="50" customWidth="1"/>
    <col min="1040" max="1040" width="6.5703125" style="50" customWidth="1"/>
    <col min="1041" max="1041" width="3.85546875" style="50" customWidth="1"/>
    <col min="1042" max="1280" width="9.140625" style="50"/>
    <col min="1281" max="1281" width="19.7109375" style="50" customWidth="1"/>
    <col min="1282" max="1282" width="11.5703125" style="50" customWidth="1"/>
    <col min="1283" max="1283" width="16.140625" style="50" customWidth="1"/>
    <col min="1284" max="1284" width="7.5703125" style="50" customWidth="1"/>
    <col min="1285" max="1285" width="5.85546875" style="50" customWidth="1"/>
    <col min="1286" max="1286" width="6.5703125" style="50" customWidth="1"/>
    <col min="1287" max="1287" width="3.85546875" style="50" customWidth="1"/>
    <col min="1288" max="1288" width="6.5703125" style="50" customWidth="1"/>
    <col min="1289" max="1289" width="3.85546875" style="50" customWidth="1"/>
    <col min="1290" max="1290" width="6.5703125" style="50" customWidth="1"/>
    <col min="1291" max="1291" width="3.85546875" style="50" customWidth="1"/>
    <col min="1292" max="1292" width="6.5703125" style="50" customWidth="1"/>
    <col min="1293" max="1293" width="3.85546875" style="50" customWidth="1"/>
    <col min="1294" max="1294" width="6.5703125" style="50" customWidth="1"/>
    <col min="1295" max="1295" width="3.85546875" style="50" customWidth="1"/>
    <col min="1296" max="1296" width="6.5703125" style="50" customWidth="1"/>
    <col min="1297" max="1297" width="3.85546875" style="50" customWidth="1"/>
    <col min="1298" max="1536" width="9.140625" style="50"/>
    <col min="1537" max="1537" width="19.7109375" style="50" customWidth="1"/>
    <col min="1538" max="1538" width="11.5703125" style="50" customWidth="1"/>
    <col min="1539" max="1539" width="16.140625" style="50" customWidth="1"/>
    <col min="1540" max="1540" width="7.5703125" style="50" customWidth="1"/>
    <col min="1541" max="1541" width="5.85546875" style="50" customWidth="1"/>
    <col min="1542" max="1542" width="6.5703125" style="50" customWidth="1"/>
    <col min="1543" max="1543" width="3.85546875" style="50" customWidth="1"/>
    <col min="1544" max="1544" width="6.5703125" style="50" customWidth="1"/>
    <col min="1545" max="1545" width="3.85546875" style="50" customWidth="1"/>
    <col min="1546" max="1546" width="6.5703125" style="50" customWidth="1"/>
    <col min="1547" max="1547" width="3.85546875" style="50" customWidth="1"/>
    <col min="1548" max="1548" width="6.5703125" style="50" customWidth="1"/>
    <col min="1549" max="1549" width="3.85546875" style="50" customWidth="1"/>
    <col min="1550" max="1550" width="6.5703125" style="50" customWidth="1"/>
    <col min="1551" max="1551" width="3.85546875" style="50" customWidth="1"/>
    <col min="1552" max="1552" width="6.5703125" style="50" customWidth="1"/>
    <col min="1553" max="1553" width="3.85546875" style="50" customWidth="1"/>
    <col min="1554" max="1792" width="9.140625" style="50"/>
    <col min="1793" max="1793" width="19.7109375" style="50" customWidth="1"/>
    <col min="1794" max="1794" width="11.5703125" style="50" customWidth="1"/>
    <col min="1795" max="1795" width="16.140625" style="50" customWidth="1"/>
    <col min="1796" max="1796" width="7.5703125" style="50" customWidth="1"/>
    <col min="1797" max="1797" width="5.85546875" style="50" customWidth="1"/>
    <col min="1798" max="1798" width="6.5703125" style="50" customWidth="1"/>
    <col min="1799" max="1799" width="3.85546875" style="50" customWidth="1"/>
    <col min="1800" max="1800" width="6.5703125" style="50" customWidth="1"/>
    <col min="1801" max="1801" width="3.85546875" style="50" customWidth="1"/>
    <col min="1802" max="1802" width="6.5703125" style="50" customWidth="1"/>
    <col min="1803" max="1803" width="3.85546875" style="50" customWidth="1"/>
    <col min="1804" max="1804" width="6.5703125" style="50" customWidth="1"/>
    <col min="1805" max="1805" width="3.85546875" style="50" customWidth="1"/>
    <col min="1806" max="1806" width="6.5703125" style="50" customWidth="1"/>
    <col min="1807" max="1807" width="3.85546875" style="50" customWidth="1"/>
    <col min="1808" max="1808" width="6.5703125" style="50" customWidth="1"/>
    <col min="1809" max="1809" width="3.85546875" style="50" customWidth="1"/>
    <col min="1810" max="2048" width="9.140625" style="50"/>
    <col min="2049" max="2049" width="19.7109375" style="50" customWidth="1"/>
    <col min="2050" max="2050" width="11.5703125" style="50" customWidth="1"/>
    <col min="2051" max="2051" width="16.140625" style="50" customWidth="1"/>
    <col min="2052" max="2052" width="7.5703125" style="50" customWidth="1"/>
    <col min="2053" max="2053" width="5.85546875" style="50" customWidth="1"/>
    <col min="2054" max="2054" width="6.5703125" style="50" customWidth="1"/>
    <col min="2055" max="2055" width="3.85546875" style="50" customWidth="1"/>
    <col min="2056" max="2056" width="6.5703125" style="50" customWidth="1"/>
    <col min="2057" max="2057" width="3.85546875" style="50" customWidth="1"/>
    <col min="2058" max="2058" width="6.5703125" style="50" customWidth="1"/>
    <col min="2059" max="2059" width="3.85546875" style="50" customWidth="1"/>
    <col min="2060" max="2060" width="6.5703125" style="50" customWidth="1"/>
    <col min="2061" max="2061" width="3.85546875" style="50" customWidth="1"/>
    <col min="2062" max="2062" width="6.5703125" style="50" customWidth="1"/>
    <col min="2063" max="2063" width="3.85546875" style="50" customWidth="1"/>
    <col min="2064" max="2064" width="6.5703125" style="50" customWidth="1"/>
    <col min="2065" max="2065" width="3.85546875" style="50" customWidth="1"/>
    <col min="2066" max="2304" width="9.140625" style="50"/>
    <col min="2305" max="2305" width="19.7109375" style="50" customWidth="1"/>
    <col min="2306" max="2306" width="11.5703125" style="50" customWidth="1"/>
    <col min="2307" max="2307" width="16.140625" style="50" customWidth="1"/>
    <col min="2308" max="2308" width="7.5703125" style="50" customWidth="1"/>
    <col min="2309" max="2309" width="5.85546875" style="50" customWidth="1"/>
    <col min="2310" max="2310" width="6.5703125" style="50" customWidth="1"/>
    <col min="2311" max="2311" width="3.85546875" style="50" customWidth="1"/>
    <col min="2312" max="2312" width="6.5703125" style="50" customWidth="1"/>
    <col min="2313" max="2313" width="3.85546875" style="50" customWidth="1"/>
    <col min="2314" max="2314" width="6.5703125" style="50" customWidth="1"/>
    <col min="2315" max="2315" width="3.85546875" style="50" customWidth="1"/>
    <col min="2316" max="2316" width="6.5703125" style="50" customWidth="1"/>
    <col min="2317" max="2317" width="3.85546875" style="50" customWidth="1"/>
    <col min="2318" max="2318" width="6.5703125" style="50" customWidth="1"/>
    <col min="2319" max="2319" width="3.85546875" style="50" customWidth="1"/>
    <col min="2320" max="2320" width="6.5703125" style="50" customWidth="1"/>
    <col min="2321" max="2321" width="3.85546875" style="50" customWidth="1"/>
    <col min="2322" max="2560" width="9.140625" style="50"/>
    <col min="2561" max="2561" width="19.7109375" style="50" customWidth="1"/>
    <col min="2562" max="2562" width="11.5703125" style="50" customWidth="1"/>
    <col min="2563" max="2563" width="16.140625" style="50" customWidth="1"/>
    <col min="2564" max="2564" width="7.5703125" style="50" customWidth="1"/>
    <col min="2565" max="2565" width="5.85546875" style="50" customWidth="1"/>
    <col min="2566" max="2566" width="6.5703125" style="50" customWidth="1"/>
    <col min="2567" max="2567" width="3.85546875" style="50" customWidth="1"/>
    <col min="2568" max="2568" width="6.5703125" style="50" customWidth="1"/>
    <col min="2569" max="2569" width="3.85546875" style="50" customWidth="1"/>
    <col min="2570" max="2570" width="6.5703125" style="50" customWidth="1"/>
    <col min="2571" max="2571" width="3.85546875" style="50" customWidth="1"/>
    <col min="2572" max="2572" width="6.5703125" style="50" customWidth="1"/>
    <col min="2573" max="2573" width="3.85546875" style="50" customWidth="1"/>
    <col min="2574" max="2574" width="6.5703125" style="50" customWidth="1"/>
    <col min="2575" max="2575" width="3.85546875" style="50" customWidth="1"/>
    <col min="2576" max="2576" width="6.5703125" style="50" customWidth="1"/>
    <col min="2577" max="2577" width="3.85546875" style="50" customWidth="1"/>
    <col min="2578" max="2816" width="9.140625" style="50"/>
    <col min="2817" max="2817" width="19.7109375" style="50" customWidth="1"/>
    <col min="2818" max="2818" width="11.5703125" style="50" customWidth="1"/>
    <col min="2819" max="2819" width="16.140625" style="50" customWidth="1"/>
    <col min="2820" max="2820" width="7.5703125" style="50" customWidth="1"/>
    <col min="2821" max="2821" width="5.85546875" style="50" customWidth="1"/>
    <col min="2822" max="2822" width="6.5703125" style="50" customWidth="1"/>
    <col min="2823" max="2823" width="3.85546875" style="50" customWidth="1"/>
    <col min="2824" max="2824" width="6.5703125" style="50" customWidth="1"/>
    <col min="2825" max="2825" width="3.85546875" style="50" customWidth="1"/>
    <col min="2826" max="2826" width="6.5703125" style="50" customWidth="1"/>
    <col min="2827" max="2827" width="3.85546875" style="50" customWidth="1"/>
    <col min="2828" max="2828" width="6.5703125" style="50" customWidth="1"/>
    <col min="2829" max="2829" width="3.85546875" style="50" customWidth="1"/>
    <col min="2830" max="2830" width="6.5703125" style="50" customWidth="1"/>
    <col min="2831" max="2831" width="3.85546875" style="50" customWidth="1"/>
    <col min="2832" max="2832" width="6.5703125" style="50" customWidth="1"/>
    <col min="2833" max="2833" width="3.85546875" style="50" customWidth="1"/>
    <col min="2834" max="3072" width="9.140625" style="50"/>
    <col min="3073" max="3073" width="19.7109375" style="50" customWidth="1"/>
    <col min="3074" max="3074" width="11.5703125" style="50" customWidth="1"/>
    <col min="3075" max="3075" width="16.140625" style="50" customWidth="1"/>
    <col min="3076" max="3076" width="7.5703125" style="50" customWidth="1"/>
    <col min="3077" max="3077" width="5.85546875" style="50" customWidth="1"/>
    <col min="3078" max="3078" width="6.5703125" style="50" customWidth="1"/>
    <col min="3079" max="3079" width="3.85546875" style="50" customWidth="1"/>
    <col min="3080" max="3080" width="6.5703125" style="50" customWidth="1"/>
    <col min="3081" max="3081" width="3.85546875" style="50" customWidth="1"/>
    <col min="3082" max="3082" width="6.5703125" style="50" customWidth="1"/>
    <col min="3083" max="3083" width="3.85546875" style="50" customWidth="1"/>
    <col min="3084" max="3084" width="6.5703125" style="50" customWidth="1"/>
    <col min="3085" max="3085" width="3.85546875" style="50" customWidth="1"/>
    <col min="3086" max="3086" width="6.5703125" style="50" customWidth="1"/>
    <col min="3087" max="3087" width="3.85546875" style="50" customWidth="1"/>
    <col min="3088" max="3088" width="6.5703125" style="50" customWidth="1"/>
    <col min="3089" max="3089" width="3.85546875" style="50" customWidth="1"/>
    <col min="3090" max="3328" width="9.140625" style="50"/>
    <col min="3329" max="3329" width="19.7109375" style="50" customWidth="1"/>
    <col min="3330" max="3330" width="11.5703125" style="50" customWidth="1"/>
    <col min="3331" max="3331" width="16.140625" style="50" customWidth="1"/>
    <col min="3332" max="3332" width="7.5703125" style="50" customWidth="1"/>
    <col min="3333" max="3333" width="5.85546875" style="50" customWidth="1"/>
    <col min="3334" max="3334" width="6.5703125" style="50" customWidth="1"/>
    <col min="3335" max="3335" width="3.85546875" style="50" customWidth="1"/>
    <col min="3336" max="3336" width="6.5703125" style="50" customWidth="1"/>
    <col min="3337" max="3337" width="3.85546875" style="50" customWidth="1"/>
    <col min="3338" max="3338" width="6.5703125" style="50" customWidth="1"/>
    <col min="3339" max="3339" width="3.85546875" style="50" customWidth="1"/>
    <col min="3340" max="3340" width="6.5703125" style="50" customWidth="1"/>
    <col min="3341" max="3341" width="3.85546875" style="50" customWidth="1"/>
    <col min="3342" max="3342" width="6.5703125" style="50" customWidth="1"/>
    <col min="3343" max="3343" width="3.85546875" style="50" customWidth="1"/>
    <col min="3344" max="3344" width="6.5703125" style="50" customWidth="1"/>
    <col min="3345" max="3345" width="3.85546875" style="50" customWidth="1"/>
    <col min="3346" max="3584" width="9.140625" style="50"/>
    <col min="3585" max="3585" width="19.7109375" style="50" customWidth="1"/>
    <col min="3586" max="3586" width="11.5703125" style="50" customWidth="1"/>
    <col min="3587" max="3587" width="16.140625" style="50" customWidth="1"/>
    <col min="3588" max="3588" width="7.5703125" style="50" customWidth="1"/>
    <col min="3589" max="3589" width="5.85546875" style="50" customWidth="1"/>
    <col min="3590" max="3590" width="6.5703125" style="50" customWidth="1"/>
    <col min="3591" max="3591" width="3.85546875" style="50" customWidth="1"/>
    <col min="3592" max="3592" width="6.5703125" style="50" customWidth="1"/>
    <col min="3593" max="3593" width="3.85546875" style="50" customWidth="1"/>
    <col min="3594" max="3594" width="6.5703125" style="50" customWidth="1"/>
    <col min="3595" max="3595" width="3.85546875" style="50" customWidth="1"/>
    <col min="3596" max="3596" width="6.5703125" style="50" customWidth="1"/>
    <col min="3597" max="3597" width="3.85546875" style="50" customWidth="1"/>
    <col min="3598" max="3598" width="6.5703125" style="50" customWidth="1"/>
    <col min="3599" max="3599" width="3.85546875" style="50" customWidth="1"/>
    <col min="3600" max="3600" width="6.5703125" style="50" customWidth="1"/>
    <col min="3601" max="3601" width="3.85546875" style="50" customWidth="1"/>
    <col min="3602" max="3840" width="9.140625" style="50"/>
    <col min="3841" max="3841" width="19.7109375" style="50" customWidth="1"/>
    <col min="3842" max="3842" width="11.5703125" style="50" customWidth="1"/>
    <col min="3843" max="3843" width="16.140625" style="50" customWidth="1"/>
    <col min="3844" max="3844" width="7.5703125" style="50" customWidth="1"/>
    <col min="3845" max="3845" width="5.85546875" style="50" customWidth="1"/>
    <col min="3846" max="3846" width="6.5703125" style="50" customWidth="1"/>
    <col min="3847" max="3847" width="3.85546875" style="50" customWidth="1"/>
    <col min="3848" max="3848" width="6.5703125" style="50" customWidth="1"/>
    <col min="3849" max="3849" width="3.85546875" style="50" customWidth="1"/>
    <col min="3850" max="3850" width="6.5703125" style="50" customWidth="1"/>
    <col min="3851" max="3851" width="3.85546875" style="50" customWidth="1"/>
    <col min="3852" max="3852" width="6.5703125" style="50" customWidth="1"/>
    <col min="3853" max="3853" width="3.85546875" style="50" customWidth="1"/>
    <col min="3854" max="3854" width="6.5703125" style="50" customWidth="1"/>
    <col min="3855" max="3855" width="3.85546875" style="50" customWidth="1"/>
    <col min="3856" max="3856" width="6.5703125" style="50" customWidth="1"/>
    <col min="3857" max="3857" width="3.85546875" style="50" customWidth="1"/>
    <col min="3858" max="4096" width="9.140625" style="50"/>
    <col min="4097" max="4097" width="19.7109375" style="50" customWidth="1"/>
    <col min="4098" max="4098" width="11.5703125" style="50" customWidth="1"/>
    <col min="4099" max="4099" width="16.140625" style="50" customWidth="1"/>
    <col min="4100" max="4100" width="7.5703125" style="50" customWidth="1"/>
    <col min="4101" max="4101" width="5.85546875" style="50" customWidth="1"/>
    <col min="4102" max="4102" width="6.5703125" style="50" customWidth="1"/>
    <col min="4103" max="4103" width="3.85546875" style="50" customWidth="1"/>
    <col min="4104" max="4104" width="6.5703125" style="50" customWidth="1"/>
    <col min="4105" max="4105" width="3.85546875" style="50" customWidth="1"/>
    <col min="4106" max="4106" width="6.5703125" style="50" customWidth="1"/>
    <col min="4107" max="4107" width="3.85546875" style="50" customWidth="1"/>
    <col min="4108" max="4108" width="6.5703125" style="50" customWidth="1"/>
    <col min="4109" max="4109" width="3.85546875" style="50" customWidth="1"/>
    <col min="4110" max="4110" width="6.5703125" style="50" customWidth="1"/>
    <col min="4111" max="4111" width="3.85546875" style="50" customWidth="1"/>
    <col min="4112" max="4112" width="6.5703125" style="50" customWidth="1"/>
    <col min="4113" max="4113" width="3.85546875" style="50" customWidth="1"/>
    <col min="4114" max="4352" width="9.140625" style="50"/>
    <col min="4353" max="4353" width="19.7109375" style="50" customWidth="1"/>
    <col min="4354" max="4354" width="11.5703125" style="50" customWidth="1"/>
    <col min="4355" max="4355" width="16.140625" style="50" customWidth="1"/>
    <col min="4356" max="4356" width="7.5703125" style="50" customWidth="1"/>
    <col min="4357" max="4357" width="5.85546875" style="50" customWidth="1"/>
    <col min="4358" max="4358" width="6.5703125" style="50" customWidth="1"/>
    <col min="4359" max="4359" width="3.85546875" style="50" customWidth="1"/>
    <col min="4360" max="4360" width="6.5703125" style="50" customWidth="1"/>
    <col min="4361" max="4361" width="3.85546875" style="50" customWidth="1"/>
    <col min="4362" max="4362" width="6.5703125" style="50" customWidth="1"/>
    <col min="4363" max="4363" width="3.85546875" style="50" customWidth="1"/>
    <col min="4364" max="4364" width="6.5703125" style="50" customWidth="1"/>
    <col min="4365" max="4365" width="3.85546875" style="50" customWidth="1"/>
    <col min="4366" max="4366" width="6.5703125" style="50" customWidth="1"/>
    <col min="4367" max="4367" width="3.85546875" style="50" customWidth="1"/>
    <col min="4368" max="4368" width="6.5703125" style="50" customWidth="1"/>
    <col min="4369" max="4369" width="3.85546875" style="50" customWidth="1"/>
    <col min="4370" max="4608" width="9.140625" style="50"/>
    <col min="4609" max="4609" width="19.7109375" style="50" customWidth="1"/>
    <col min="4610" max="4610" width="11.5703125" style="50" customWidth="1"/>
    <col min="4611" max="4611" width="16.140625" style="50" customWidth="1"/>
    <col min="4612" max="4612" width="7.5703125" style="50" customWidth="1"/>
    <col min="4613" max="4613" width="5.85546875" style="50" customWidth="1"/>
    <col min="4614" max="4614" width="6.5703125" style="50" customWidth="1"/>
    <col min="4615" max="4615" width="3.85546875" style="50" customWidth="1"/>
    <col min="4616" max="4616" width="6.5703125" style="50" customWidth="1"/>
    <col min="4617" max="4617" width="3.85546875" style="50" customWidth="1"/>
    <col min="4618" max="4618" width="6.5703125" style="50" customWidth="1"/>
    <col min="4619" max="4619" width="3.85546875" style="50" customWidth="1"/>
    <col min="4620" max="4620" width="6.5703125" style="50" customWidth="1"/>
    <col min="4621" max="4621" width="3.85546875" style="50" customWidth="1"/>
    <col min="4622" max="4622" width="6.5703125" style="50" customWidth="1"/>
    <col min="4623" max="4623" width="3.85546875" style="50" customWidth="1"/>
    <col min="4624" max="4624" width="6.5703125" style="50" customWidth="1"/>
    <col min="4625" max="4625" width="3.85546875" style="50" customWidth="1"/>
    <col min="4626" max="4864" width="9.140625" style="50"/>
    <col min="4865" max="4865" width="19.7109375" style="50" customWidth="1"/>
    <col min="4866" max="4866" width="11.5703125" style="50" customWidth="1"/>
    <col min="4867" max="4867" width="16.140625" style="50" customWidth="1"/>
    <col min="4868" max="4868" width="7.5703125" style="50" customWidth="1"/>
    <col min="4869" max="4869" width="5.85546875" style="50" customWidth="1"/>
    <col min="4870" max="4870" width="6.5703125" style="50" customWidth="1"/>
    <col min="4871" max="4871" width="3.85546875" style="50" customWidth="1"/>
    <col min="4872" max="4872" width="6.5703125" style="50" customWidth="1"/>
    <col min="4873" max="4873" width="3.85546875" style="50" customWidth="1"/>
    <col min="4874" max="4874" width="6.5703125" style="50" customWidth="1"/>
    <col min="4875" max="4875" width="3.85546875" style="50" customWidth="1"/>
    <col min="4876" max="4876" width="6.5703125" style="50" customWidth="1"/>
    <col min="4877" max="4877" width="3.85546875" style="50" customWidth="1"/>
    <col min="4878" max="4878" width="6.5703125" style="50" customWidth="1"/>
    <col min="4879" max="4879" width="3.85546875" style="50" customWidth="1"/>
    <col min="4880" max="4880" width="6.5703125" style="50" customWidth="1"/>
    <col min="4881" max="4881" width="3.85546875" style="50" customWidth="1"/>
    <col min="4882" max="5120" width="9.140625" style="50"/>
    <col min="5121" max="5121" width="19.7109375" style="50" customWidth="1"/>
    <col min="5122" max="5122" width="11.5703125" style="50" customWidth="1"/>
    <col min="5123" max="5123" width="16.140625" style="50" customWidth="1"/>
    <col min="5124" max="5124" width="7.5703125" style="50" customWidth="1"/>
    <col min="5125" max="5125" width="5.85546875" style="50" customWidth="1"/>
    <col min="5126" max="5126" width="6.5703125" style="50" customWidth="1"/>
    <col min="5127" max="5127" width="3.85546875" style="50" customWidth="1"/>
    <col min="5128" max="5128" width="6.5703125" style="50" customWidth="1"/>
    <col min="5129" max="5129" width="3.85546875" style="50" customWidth="1"/>
    <col min="5130" max="5130" width="6.5703125" style="50" customWidth="1"/>
    <col min="5131" max="5131" width="3.85546875" style="50" customWidth="1"/>
    <col min="5132" max="5132" width="6.5703125" style="50" customWidth="1"/>
    <col min="5133" max="5133" width="3.85546875" style="50" customWidth="1"/>
    <col min="5134" max="5134" width="6.5703125" style="50" customWidth="1"/>
    <col min="5135" max="5135" width="3.85546875" style="50" customWidth="1"/>
    <col min="5136" max="5136" width="6.5703125" style="50" customWidth="1"/>
    <col min="5137" max="5137" width="3.85546875" style="50" customWidth="1"/>
    <col min="5138" max="5376" width="9.140625" style="50"/>
    <col min="5377" max="5377" width="19.7109375" style="50" customWidth="1"/>
    <col min="5378" max="5378" width="11.5703125" style="50" customWidth="1"/>
    <col min="5379" max="5379" width="16.140625" style="50" customWidth="1"/>
    <col min="5380" max="5380" width="7.5703125" style="50" customWidth="1"/>
    <col min="5381" max="5381" width="5.85546875" style="50" customWidth="1"/>
    <col min="5382" max="5382" width="6.5703125" style="50" customWidth="1"/>
    <col min="5383" max="5383" width="3.85546875" style="50" customWidth="1"/>
    <col min="5384" max="5384" width="6.5703125" style="50" customWidth="1"/>
    <col min="5385" max="5385" width="3.85546875" style="50" customWidth="1"/>
    <col min="5386" max="5386" width="6.5703125" style="50" customWidth="1"/>
    <col min="5387" max="5387" width="3.85546875" style="50" customWidth="1"/>
    <col min="5388" max="5388" width="6.5703125" style="50" customWidth="1"/>
    <col min="5389" max="5389" width="3.85546875" style="50" customWidth="1"/>
    <col min="5390" max="5390" width="6.5703125" style="50" customWidth="1"/>
    <col min="5391" max="5391" width="3.85546875" style="50" customWidth="1"/>
    <col min="5392" max="5392" width="6.5703125" style="50" customWidth="1"/>
    <col min="5393" max="5393" width="3.85546875" style="50" customWidth="1"/>
    <col min="5394" max="5632" width="9.140625" style="50"/>
    <col min="5633" max="5633" width="19.7109375" style="50" customWidth="1"/>
    <col min="5634" max="5634" width="11.5703125" style="50" customWidth="1"/>
    <col min="5635" max="5635" width="16.140625" style="50" customWidth="1"/>
    <col min="5636" max="5636" width="7.5703125" style="50" customWidth="1"/>
    <col min="5637" max="5637" width="5.85546875" style="50" customWidth="1"/>
    <col min="5638" max="5638" width="6.5703125" style="50" customWidth="1"/>
    <col min="5639" max="5639" width="3.85546875" style="50" customWidth="1"/>
    <col min="5640" max="5640" width="6.5703125" style="50" customWidth="1"/>
    <col min="5641" max="5641" width="3.85546875" style="50" customWidth="1"/>
    <col min="5642" max="5642" width="6.5703125" style="50" customWidth="1"/>
    <col min="5643" max="5643" width="3.85546875" style="50" customWidth="1"/>
    <col min="5644" max="5644" width="6.5703125" style="50" customWidth="1"/>
    <col min="5645" max="5645" width="3.85546875" style="50" customWidth="1"/>
    <col min="5646" max="5646" width="6.5703125" style="50" customWidth="1"/>
    <col min="5647" max="5647" width="3.85546875" style="50" customWidth="1"/>
    <col min="5648" max="5648" width="6.5703125" style="50" customWidth="1"/>
    <col min="5649" max="5649" width="3.85546875" style="50" customWidth="1"/>
    <col min="5650" max="5888" width="9.140625" style="50"/>
    <col min="5889" max="5889" width="19.7109375" style="50" customWidth="1"/>
    <col min="5890" max="5890" width="11.5703125" style="50" customWidth="1"/>
    <col min="5891" max="5891" width="16.140625" style="50" customWidth="1"/>
    <col min="5892" max="5892" width="7.5703125" style="50" customWidth="1"/>
    <col min="5893" max="5893" width="5.85546875" style="50" customWidth="1"/>
    <col min="5894" max="5894" width="6.5703125" style="50" customWidth="1"/>
    <col min="5895" max="5895" width="3.85546875" style="50" customWidth="1"/>
    <col min="5896" max="5896" width="6.5703125" style="50" customWidth="1"/>
    <col min="5897" max="5897" width="3.85546875" style="50" customWidth="1"/>
    <col min="5898" max="5898" width="6.5703125" style="50" customWidth="1"/>
    <col min="5899" max="5899" width="3.85546875" style="50" customWidth="1"/>
    <col min="5900" max="5900" width="6.5703125" style="50" customWidth="1"/>
    <col min="5901" max="5901" width="3.85546875" style="50" customWidth="1"/>
    <col min="5902" max="5902" width="6.5703125" style="50" customWidth="1"/>
    <col min="5903" max="5903" width="3.85546875" style="50" customWidth="1"/>
    <col min="5904" max="5904" width="6.5703125" style="50" customWidth="1"/>
    <col min="5905" max="5905" width="3.85546875" style="50" customWidth="1"/>
    <col min="5906" max="6144" width="9.140625" style="50"/>
    <col min="6145" max="6145" width="19.7109375" style="50" customWidth="1"/>
    <col min="6146" max="6146" width="11.5703125" style="50" customWidth="1"/>
    <col min="6147" max="6147" width="16.140625" style="50" customWidth="1"/>
    <col min="6148" max="6148" width="7.5703125" style="50" customWidth="1"/>
    <col min="6149" max="6149" width="5.85546875" style="50" customWidth="1"/>
    <col min="6150" max="6150" width="6.5703125" style="50" customWidth="1"/>
    <col min="6151" max="6151" width="3.85546875" style="50" customWidth="1"/>
    <col min="6152" max="6152" width="6.5703125" style="50" customWidth="1"/>
    <col min="6153" max="6153" width="3.85546875" style="50" customWidth="1"/>
    <col min="6154" max="6154" width="6.5703125" style="50" customWidth="1"/>
    <col min="6155" max="6155" width="3.85546875" style="50" customWidth="1"/>
    <col min="6156" max="6156" width="6.5703125" style="50" customWidth="1"/>
    <col min="6157" max="6157" width="3.85546875" style="50" customWidth="1"/>
    <col min="6158" max="6158" width="6.5703125" style="50" customWidth="1"/>
    <col min="6159" max="6159" width="3.85546875" style="50" customWidth="1"/>
    <col min="6160" max="6160" width="6.5703125" style="50" customWidth="1"/>
    <col min="6161" max="6161" width="3.85546875" style="50" customWidth="1"/>
    <col min="6162" max="6400" width="9.140625" style="50"/>
    <col min="6401" max="6401" width="19.7109375" style="50" customWidth="1"/>
    <col min="6402" max="6402" width="11.5703125" style="50" customWidth="1"/>
    <col min="6403" max="6403" width="16.140625" style="50" customWidth="1"/>
    <col min="6404" max="6404" width="7.5703125" style="50" customWidth="1"/>
    <col min="6405" max="6405" width="5.85546875" style="50" customWidth="1"/>
    <col min="6406" max="6406" width="6.5703125" style="50" customWidth="1"/>
    <col min="6407" max="6407" width="3.85546875" style="50" customWidth="1"/>
    <col min="6408" max="6408" width="6.5703125" style="50" customWidth="1"/>
    <col min="6409" max="6409" width="3.85546875" style="50" customWidth="1"/>
    <col min="6410" max="6410" width="6.5703125" style="50" customWidth="1"/>
    <col min="6411" max="6411" width="3.85546875" style="50" customWidth="1"/>
    <col min="6412" max="6412" width="6.5703125" style="50" customWidth="1"/>
    <col min="6413" max="6413" width="3.85546875" style="50" customWidth="1"/>
    <col min="6414" max="6414" width="6.5703125" style="50" customWidth="1"/>
    <col min="6415" max="6415" width="3.85546875" style="50" customWidth="1"/>
    <col min="6416" max="6416" width="6.5703125" style="50" customWidth="1"/>
    <col min="6417" max="6417" width="3.85546875" style="50" customWidth="1"/>
    <col min="6418" max="6656" width="9.140625" style="50"/>
    <col min="6657" max="6657" width="19.7109375" style="50" customWidth="1"/>
    <col min="6658" max="6658" width="11.5703125" style="50" customWidth="1"/>
    <col min="6659" max="6659" width="16.140625" style="50" customWidth="1"/>
    <col min="6660" max="6660" width="7.5703125" style="50" customWidth="1"/>
    <col min="6661" max="6661" width="5.85546875" style="50" customWidth="1"/>
    <col min="6662" max="6662" width="6.5703125" style="50" customWidth="1"/>
    <col min="6663" max="6663" width="3.85546875" style="50" customWidth="1"/>
    <col min="6664" max="6664" width="6.5703125" style="50" customWidth="1"/>
    <col min="6665" max="6665" width="3.85546875" style="50" customWidth="1"/>
    <col min="6666" max="6666" width="6.5703125" style="50" customWidth="1"/>
    <col min="6667" max="6667" width="3.85546875" style="50" customWidth="1"/>
    <col min="6668" max="6668" width="6.5703125" style="50" customWidth="1"/>
    <col min="6669" max="6669" width="3.85546875" style="50" customWidth="1"/>
    <col min="6670" max="6670" width="6.5703125" style="50" customWidth="1"/>
    <col min="6671" max="6671" width="3.85546875" style="50" customWidth="1"/>
    <col min="6672" max="6672" width="6.5703125" style="50" customWidth="1"/>
    <col min="6673" max="6673" width="3.85546875" style="50" customWidth="1"/>
    <col min="6674" max="6912" width="9.140625" style="50"/>
    <col min="6913" max="6913" width="19.7109375" style="50" customWidth="1"/>
    <col min="6914" max="6914" width="11.5703125" style="50" customWidth="1"/>
    <col min="6915" max="6915" width="16.140625" style="50" customWidth="1"/>
    <col min="6916" max="6916" width="7.5703125" style="50" customWidth="1"/>
    <col min="6917" max="6917" width="5.85546875" style="50" customWidth="1"/>
    <col min="6918" max="6918" width="6.5703125" style="50" customWidth="1"/>
    <col min="6919" max="6919" width="3.85546875" style="50" customWidth="1"/>
    <col min="6920" max="6920" width="6.5703125" style="50" customWidth="1"/>
    <col min="6921" max="6921" width="3.85546875" style="50" customWidth="1"/>
    <col min="6922" max="6922" width="6.5703125" style="50" customWidth="1"/>
    <col min="6923" max="6923" width="3.85546875" style="50" customWidth="1"/>
    <col min="6924" max="6924" width="6.5703125" style="50" customWidth="1"/>
    <col min="6925" max="6925" width="3.85546875" style="50" customWidth="1"/>
    <col min="6926" max="6926" width="6.5703125" style="50" customWidth="1"/>
    <col min="6927" max="6927" width="3.85546875" style="50" customWidth="1"/>
    <col min="6928" max="6928" width="6.5703125" style="50" customWidth="1"/>
    <col min="6929" max="6929" width="3.85546875" style="50" customWidth="1"/>
    <col min="6930" max="7168" width="9.140625" style="50"/>
    <col min="7169" max="7169" width="19.7109375" style="50" customWidth="1"/>
    <col min="7170" max="7170" width="11.5703125" style="50" customWidth="1"/>
    <col min="7171" max="7171" width="16.140625" style="50" customWidth="1"/>
    <col min="7172" max="7172" width="7.5703125" style="50" customWidth="1"/>
    <col min="7173" max="7173" width="5.85546875" style="50" customWidth="1"/>
    <col min="7174" max="7174" width="6.5703125" style="50" customWidth="1"/>
    <col min="7175" max="7175" width="3.85546875" style="50" customWidth="1"/>
    <col min="7176" max="7176" width="6.5703125" style="50" customWidth="1"/>
    <col min="7177" max="7177" width="3.85546875" style="50" customWidth="1"/>
    <col min="7178" max="7178" width="6.5703125" style="50" customWidth="1"/>
    <col min="7179" max="7179" width="3.85546875" style="50" customWidth="1"/>
    <col min="7180" max="7180" width="6.5703125" style="50" customWidth="1"/>
    <col min="7181" max="7181" width="3.85546875" style="50" customWidth="1"/>
    <col min="7182" max="7182" width="6.5703125" style="50" customWidth="1"/>
    <col min="7183" max="7183" width="3.85546875" style="50" customWidth="1"/>
    <col min="7184" max="7184" width="6.5703125" style="50" customWidth="1"/>
    <col min="7185" max="7185" width="3.85546875" style="50" customWidth="1"/>
    <col min="7186" max="7424" width="9.140625" style="50"/>
    <col min="7425" max="7425" width="19.7109375" style="50" customWidth="1"/>
    <col min="7426" max="7426" width="11.5703125" style="50" customWidth="1"/>
    <col min="7427" max="7427" width="16.140625" style="50" customWidth="1"/>
    <col min="7428" max="7428" width="7.5703125" style="50" customWidth="1"/>
    <col min="7429" max="7429" width="5.85546875" style="50" customWidth="1"/>
    <col min="7430" max="7430" width="6.5703125" style="50" customWidth="1"/>
    <col min="7431" max="7431" width="3.85546875" style="50" customWidth="1"/>
    <col min="7432" max="7432" width="6.5703125" style="50" customWidth="1"/>
    <col min="7433" max="7433" width="3.85546875" style="50" customWidth="1"/>
    <col min="7434" max="7434" width="6.5703125" style="50" customWidth="1"/>
    <col min="7435" max="7435" width="3.85546875" style="50" customWidth="1"/>
    <col min="7436" max="7436" width="6.5703125" style="50" customWidth="1"/>
    <col min="7437" max="7437" width="3.85546875" style="50" customWidth="1"/>
    <col min="7438" max="7438" width="6.5703125" style="50" customWidth="1"/>
    <col min="7439" max="7439" width="3.85546875" style="50" customWidth="1"/>
    <col min="7440" max="7440" width="6.5703125" style="50" customWidth="1"/>
    <col min="7441" max="7441" width="3.85546875" style="50" customWidth="1"/>
    <col min="7442" max="7680" width="9.140625" style="50"/>
    <col min="7681" max="7681" width="19.7109375" style="50" customWidth="1"/>
    <col min="7682" max="7682" width="11.5703125" style="50" customWidth="1"/>
    <col min="7683" max="7683" width="16.140625" style="50" customWidth="1"/>
    <col min="7684" max="7684" width="7.5703125" style="50" customWidth="1"/>
    <col min="7685" max="7685" width="5.85546875" style="50" customWidth="1"/>
    <col min="7686" max="7686" width="6.5703125" style="50" customWidth="1"/>
    <col min="7687" max="7687" width="3.85546875" style="50" customWidth="1"/>
    <col min="7688" max="7688" width="6.5703125" style="50" customWidth="1"/>
    <col min="7689" max="7689" width="3.85546875" style="50" customWidth="1"/>
    <col min="7690" max="7690" width="6.5703125" style="50" customWidth="1"/>
    <col min="7691" max="7691" width="3.85546875" style="50" customWidth="1"/>
    <col min="7692" max="7692" width="6.5703125" style="50" customWidth="1"/>
    <col min="7693" max="7693" width="3.85546875" style="50" customWidth="1"/>
    <col min="7694" max="7694" width="6.5703125" style="50" customWidth="1"/>
    <col min="7695" max="7695" width="3.85546875" style="50" customWidth="1"/>
    <col min="7696" max="7696" width="6.5703125" style="50" customWidth="1"/>
    <col min="7697" max="7697" width="3.85546875" style="50" customWidth="1"/>
    <col min="7698" max="7936" width="9.140625" style="50"/>
    <col min="7937" max="7937" width="19.7109375" style="50" customWidth="1"/>
    <col min="7938" max="7938" width="11.5703125" style="50" customWidth="1"/>
    <col min="7939" max="7939" width="16.140625" style="50" customWidth="1"/>
    <col min="7940" max="7940" width="7.5703125" style="50" customWidth="1"/>
    <col min="7941" max="7941" width="5.85546875" style="50" customWidth="1"/>
    <col min="7942" max="7942" width="6.5703125" style="50" customWidth="1"/>
    <col min="7943" max="7943" width="3.85546875" style="50" customWidth="1"/>
    <col min="7944" max="7944" width="6.5703125" style="50" customWidth="1"/>
    <col min="7945" max="7945" width="3.85546875" style="50" customWidth="1"/>
    <col min="7946" max="7946" width="6.5703125" style="50" customWidth="1"/>
    <col min="7947" max="7947" width="3.85546875" style="50" customWidth="1"/>
    <col min="7948" max="7948" width="6.5703125" style="50" customWidth="1"/>
    <col min="7949" max="7949" width="3.85546875" style="50" customWidth="1"/>
    <col min="7950" max="7950" width="6.5703125" style="50" customWidth="1"/>
    <col min="7951" max="7951" width="3.85546875" style="50" customWidth="1"/>
    <col min="7952" max="7952" width="6.5703125" style="50" customWidth="1"/>
    <col min="7953" max="7953" width="3.85546875" style="50" customWidth="1"/>
    <col min="7954" max="8192" width="9.140625" style="50"/>
    <col min="8193" max="8193" width="19.7109375" style="50" customWidth="1"/>
    <col min="8194" max="8194" width="11.5703125" style="50" customWidth="1"/>
    <col min="8195" max="8195" width="16.140625" style="50" customWidth="1"/>
    <col min="8196" max="8196" width="7.5703125" style="50" customWidth="1"/>
    <col min="8197" max="8197" width="5.85546875" style="50" customWidth="1"/>
    <col min="8198" max="8198" width="6.5703125" style="50" customWidth="1"/>
    <col min="8199" max="8199" width="3.85546875" style="50" customWidth="1"/>
    <col min="8200" max="8200" width="6.5703125" style="50" customWidth="1"/>
    <col min="8201" max="8201" width="3.85546875" style="50" customWidth="1"/>
    <col min="8202" max="8202" width="6.5703125" style="50" customWidth="1"/>
    <col min="8203" max="8203" width="3.85546875" style="50" customWidth="1"/>
    <col min="8204" max="8204" width="6.5703125" style="50" customWidth="1"/>
    <col min="8205" max="8205" width="3.85546875" style="50" customWidth="1"/>
    <col min="8206" max="8206" width="6.5703125" style="50" customWidth="1"/>
    <col min="8207" max="8207" width="3.85546875" style="50" customWidth="1"/>
    <col min="8208" max="8208" width="6.5703125" style="50" customWidth="1"/>
    <col min="8209" max="8209" width="3.85546875" style="50" customWidth="1"/>
    <col min="8210" max="8448" width="9.140625" style="50"/>
    <col min="8449" max="8449" width="19.7109375" style="50" customWidth="1"/>
    <col min="8450" max="8450" width="11.5703125" style="50" customWidth="1"/>
    <col min="8451" max="8451" width="16.140625" style="50" customWidth="1"/>
    <col min="8452" max="8452" width="7.5703125" style="50" customWidth="1"/>
    <col min="8453" max="8453" width="5.85546875" style="50" customWidth="1"/>
    <col min="8454" max="8454" width="6.5703125" style="50" customWidth="1"/>
    <col min="8455" max="8455" width="3.85546875" style="50" customWidth="1"/>
    <col min="8456" max="8456" width="6.5703125" style="50" customWidth="1"/>
    <col min="8457" max="8457" width="3.85546875" style="50" customWidth="1"/>
    <col min="8458" max="8458" width="6.5703125" style="50" customWidth="1"/>
    <col min="8459" max="8459" width="3.85546875" style="50" customWidth="1"/>
    <col min="8460" max="8460" width="6.5703125" style="50" customWidth="1"/>
    <col min="8461" max="8461" width="3.85546875" style="50" customWidth="1"/>
    <col min="8462" max="8462" width="6.5703125" style="50" customWidth="1"/>
    <col min="8463" max="8463" width="3.85546875" style="50" customWidth="1"/>
    <col min="8464" max="8464" width="6.5703125" style="50" customWidth="1"/>
    <col min="8465" max="8465" width="3.85546875" style="50" customWidth="1"/>
    <col min="8466" max="8704" width="9.140625" style="50"/>
    <col min="8705" max="8705" width="19.7109375" style="50" customWidth="1"/>
    <col min="8706" max="8706" width="11.5703125" style="50" customWidth="1"/>
    <col min="8707" max="8707" width="16.140625" style="50" customWidth="1"/>
    <col min="8708" max="8708" width="7.5703125" style="50" customWidth="1"/>
    <col min="8709" max="8709" width="5.85546875" style="50" customWidth="1"/>
    <col min="8710" max="8710" width="6.5703125" style="50" customWidth="1"/>
    <col min="8711" max="8711" width="3.85546875" style="50" customWidth="1"/>
    <col min="8712" max="8712" width="6.5703125" style="50" customWidth="1"/>
    <col min="8713" max="8713" width="3.85546875" style="50" customWidth="1"/>
    <col min="8714" max="8714" width="6.5703125" style="50" customWidth="1"/>
    <col min="8715" max="8715" width="3.85546875" style="50" customWidth="1"/>
    <col min="8716" max="8716" width="6.5703125" style="50" customWidth="1"/>
    <col min="8717" max="8717" width="3.85546875" style="50" customWidth="1"/>
    <col min="8718" max="8718" width="6.5703125" style="50" customWidth="1"/>
    <col min="8719" max="8719" width="3.85546875" style="50" customWidth="1"/>
    <col min="8720" max="8720" width="6.5703125" style="50" customWidth="1"/>
    <col min="8721" max="8721" width="3.85546875" style="50" customWidth="1"/>
    <col min="8722" max="8960" width="9.140625" style="50"/>
    <col min="8961" max="8961" width="19.7109375" style="50" customWidth="1"/>
    <col min="8962" max="8962" width="11.5703125" style="50" customWidth="1"/>
    <col min="8963" max="8963" width="16.140625" style="50" customWidth="1"/>
    <col min="8964" max="8964" width="7.5703125" style="50" customWidth="1"/>
    <col min="8965" max="8965" width="5.85546875" style="50" customWidth="1"/>
    <col min="8966" max="8966" width="6.5703125" style="50" customWidth="1"/>
    <col min="8967" max="8967" width="3.85546875" style="50" customWidth="1"/>
    <col min="8968" max="8968" width="6.5703125" style="50" customWidth="1"/>
    <col min="8969" max="8969" width="3.85546875" style="50" customWidth="1"/>
    <col min="8970" max="8970" width="6.5703125" style="50" customWidth="1"/>
    <col min="8971" max="8971" width="3.85546875" style="50" customWidth="1"/>
    <col min="8972" max="8972" width="6.5703125" style="50" customWidth="1"/>
    <col min="8973" max="8973" width="3.85546875" style="50" customWidth="1"/>
    <col min="8974" max="8974" width="6.5703125" style="50" customWidth="1"/>
    <col min="8975" max="8975" width="3.85546875" style="50" customWidth="1"/>
    <col min="8976" max="8976" width="6.5703125" style="50" customWidth="1"/>
    <col min="8977" max="8977" width="3.85546875" style="50" customWidth="1"/>
    <col min="8978" max="9216" width="9.140625" style="50"/>
    <col min="9217" max="9217" width="19.7109375" style="50" customWidth="1"/>
    <col min="9218" max="9218" width="11.5703125" style="50" customWidth="1"/>
    <col min="9219" max="9219" width="16.140625" style="50" customWidth="1"/>
    <col min="9220" max="9220" width="7.5703125" style="50" customWidth="1"/>
    <col min="9221" max="9221" width="5.85546875" style="50" customWidth="1"/>
    <col min="9222" max="9222" width="6.5703125" style="50" customWidth="1"/>
    <col min="9223" max="9223" width="3.85546875" style="50" customWidth="1"/>
    <col min="9224" max="9224" width="6.5703125" style="50" customWidth="1"/>
    <col min="9225" max="9225" width="3.85546875" style="50" customWidth="1"/>
    <col min="9226" max="9226" width="6.5703125" style="50" customWidth="1"/>
    <col min="9227" max="9227" width="3.85546875" style="50" customWidth="1"/>
    <col min="9228" max="9228" width="6.5703125" style="50" customWidth="1"/>
    <col min="9229" max="9229" width="3.85546875" style="50" customWidth="1"/>
    <col min="9230" max="9230" width="6.5703125" style="50" customWidth="1"/>
    <col min="9231" max="9231" width="3.85546875" style="50" customWidth="1"/>
    <col min="9232" max="9232" width="6.5703125" style="50" customWidth="1"/>
    <col min="9233" max="9233" width="3.85546875" style="50" customWidth="1"/>
    <col min="9234" max="9472" width="9.140625" style="50"/>
    <col min="9473" max="9473" width="19.7109375" style="50" customWidth="1"/>
    <col min="9474" max="9474" width="11.5703125" style="50" customWidth="1"/>
    <col min="9475" max="9475" width="16.140625" style="50" customWidth="1"/>
    <col min="9476" max="9476" width="7.5703125" style="50" customWidth="1"/>
    <col min="9477" max="9477" width="5.85546875" style="50" customWidth="1"/>
    <col min="9478" max="9478" width="6.5703125" style="50" customWidth="1"/>
    <col min="9479" max="9479" width="3.85546875" style="50" customWidth="1"/>
    <col min="9480" max="9480" width="6.5703125" style="50" customWidth="1"/>
    <col min="9481" max="9481" width="3.85546875" style="50" customWidth="1"/>
    <col min="9482" max="9482" width="6.5703125" style="50" customWidth="1"/>
    <col min="9483" max="9483" width="3.85546875" style="50" customWidth="1"/>
    <col min="9484" max="9484" width="6.5703125" style="50" customWidth="1"/>
    <col min="9485" max="9485" width="3.85546875" style="50" customWidth="1"/>
    <col min="9486" max="9486" width="6.5703125" style="50" customWidth="1"/>
    <col min="9487" max="9487" width="3.85546875" style="50" customWidth="1"/>
    <col min="9488" max="9488" width="6.5703125" style="50" customWidth="1"/>
    <col min="9489" max="9489" width="3.85546875" style="50" customWidth="1"/>
    <col min="9490" max="9728" width="9.140625" style="50"/>
    <col min="9729" max="9729" width="19.7109375" style="50" customWidth="1"/>
    <col min="9730" max="9730" width="11.5703125" style="50" customWidth="1"/>
    <col min="9731" max="9731" width="16.140625" style="50" customWidth="1"/>
    <col min="9732" max="9732" width="7.5703125" style="50" customWidth="1"/>
    <col min="9733" max="9733" width="5.85546875" style="50" customWidth="1"/>
    <col min="9734" max="9734" width="6.5703125" style="50" customWidth="1"/>
    <col min="9735" max="9735" width="3.85546875" style="50" customWidth="1"/>
    <col min="9736" max="9736" width="6.5703125" style="50" customWidth="1"/>
    <col min="9737" max="9737" width="3.85546875" style="50" customWidth="1"/>
    <col min="9738" max="9738" width="6.5703125" style="50" customWidth="1"/>
    <col min="9739" max="9739" width="3.85546875" style="50" customWidth="1"/>
    <col min="9740" max="9740" width="6.5703125" style="50" customWidth="1"/>
    <col min="9741" max="9741" width="3.85546875" style="50" customWidth="1"/>
    <col min="9742" max="9742" width="6.5703125" style="50" customWidth="1"/>
    <col min="9743" max="9743" width="3.85546875" style="50" customWidth="1"/>
    <col min="9744" max="9744" width="6.5703125" style="50" customWidth="1"/>
    <col min="9745" max="9745" width="3.85546875" style="50" customWidth="1"/>
    <col min="9746" max="9984" width="9.140625" style="50"/>
    <col min="9985" max="9985" width="19.7109375" style="50" customWidth="1"/>
    <col min="9986" max="9986" width="11.5703125" style="50" customWidth="1"/>
    <col min="9987" max="9987" width="16.140625" style="50" customWidth="1"/>
    <col min="9988" max="9988" width="7.5703125" style="50" customWidth="1"/>
    <col min="9989" max="9989" width="5.85546875" style="50" customWidth="1"/>
    <col min="9990" max="9990" width="6.5703125" style="50" customWidth="1"/>
    <col min="9991" max="9991" width="3.85546875" style="50" customWidth="1"/>
    <col min="9992" max="9992" width="6.5703125" style="50" customWidth="1"/>
    <col min="9993" max="9993" width="3.85546875" style="50" customWidth="1"/>
    <col min="9994" max="9994" width="6.5703125" style="50" customWidth="1"/>
    <col min="9995" max="9995" width="3.85546875" style="50" customWidth="1"/>
    <col min="9996" max="9996" width="6.5703125" style="50" customWidth="1"/>
    <col min="9997" max="9997" width="3.85546875" style="50" customWidth="1"/>
    <col min="9998" max="9998" width="6.5703125" style="50" customWidth="1"/>
    <col min="9999" max="9999" width="3.85546875" style="50" customWidth="1"/>
    <col min="10000" max="10000" width="6.5703125" style="50" customWidth="1"/>
    <col min="10001" max="10001" width="3.85546875" style="50" customWidth="1"/>
    <col min="10002" max="10240" width="9.140625" style="50"/>
    <col min="10241" max="10241" width="19.7109375" style="50" customWidth="1"/>
    <col min="10242" max="10242" width="11.5703125" style="50" customWidth="1"/>
    <col min="10243" max="10243" width="16.140625" style="50" customWidth="1"/>
    <col min="10244" max="10244" width="7.5703125" style="50" customWidth="1"/>
    <col min="10245" max="10245" width="5.85546875" style="50" customWidth="1"/>
    <col min="10246" max="10246" width="6.5703125" style="50" customWidth="1"/>
    <col min="10247" max="10247" width="3.85546875" style="50" customWidth="1"/>
    <col min="10248" max="10248" width="6.5703125" style="50" customWidth="1"/>
    <col min="10249" max="10249" width="3.85546875" style="50" customWidth="1"/>
    <col min="10250" max="10250" width="6.5703125" style="50" customWidth="1"/>
    <col min="10251" max="10251" width="3.85546875" style="50" customWidth="1"/>
    <col min="10252" max="10252" width="6.5703125" style="50" customWidth="1"/>
    <col min="10253" max="10253" width="3.85546875" style="50" customWidth="1"/>
    <col min="10254" max="10254" width="6.5703125" style="50" customWidth="1"/>
    <col min="10255" max="10255" width="3.85546875" style="50" customWidth="1"/>
    <col min="10256" max="10256" width="6.5703125" style="50" customWidth="1"/>
    <col min="10257" max="10257" width="3.85546875" style="50" customWidth="1"/>
    <col min="10258" max="10496" width="9.140625" style="50"/>
    <col min="10497" max="10497" width="19.7109375" style="50" customWidth="1"/>
    <col min="10498" max="10498" width="11.5703125" style="50" customWidth="1"/>
    <col min="10499" max="10499" width="16.140625" style="50" customWidth="1"/>
    <col min="10500" max="10500" width="7.5703125" style="50" customWidth="1"/>
    <col min="10501" max="10501" width="5.85546875" style="50" customWidth="1"/>
    <col min="10502" max="10502" width="6.5703125" style="50" customWidth="1"/>
    <col min="10503" max="10503" width="3.85546875" style="50" customWidth="1"/>
    <col min="10504" max="10504" width="6.5703125" style="50" customWidth="1"/>
    <col min="10505" max="10505" width="3.85546875" style="50" customWidth="1"/>
    <col min="10506" max="10506" width="6.5703125" style="50" customWidth="1"/>
    <col min="10507" max="10507" width="3.85546875" style="50" customWidth="1"/>
    <col min="10508" max="10508" width="6.5703125" style="50" customWidth="1"/>
    <col min="10509" max="10509" width="3.85546875" style="50" customWidth="1"/>
    <col min="10510" max="10510" width="6.5703125" style="50" customWidth="1"/>
    <col min="10511" max="10511" width="3.85546875" style="50" customWidth="1"/>
    <col min="10512" max="10512" width="6.5703125" style="50" customWidth="1"/>
    <col min="10513" max="10513" width="3.85546875" style="50" customWidth="1"/>
    <col min="10514" max="10752" width="9.140625" style="50"/>
    <col min="10753" max="10753" width="19.7109375" style="50" customWidth="1"/>
    <col min="10754" max="10754" width="11.5703125" style="50" customWidth="1"/>
    <col min="10755" max="10755" width="16.140625" style="50" customWidth="1"/>
    <col min="10756" max="10756" width="7.5703125" style="50" customWidth="1"/>
    <col min="10757" max="10757" width="5.85546875" style="50" customWidth="1"/>
    <col min="10758" max="10758" width="6.5703125" style="50" customWidth="1"/>
    <col min="10759" max="10759" width="3.85546875" style="50" customWidth="1"/>
    <col min="10760" max="10760" width="6.5703125" style="50" customWidth="1"/>
    <col min="10761" max="10761" width="3.85546875" style="50" customWidth="1"/>
    <col min="10762" max="10762" width="6.5703125" style="50" customWidth="1"/>
    <col min="10763" max="10763" width="3.85546875" style="50" customWidth="1"/>
    <col min="10764" max="10764" width="6.5703125" style="50" customWidth="1"/>
    <col min="10765" max="10765" width="3.85546875" style="50" customWidth="1"/>
    <col min="10766" max="10766" width="6.5703125" style="50" customWidth="1"/>
    <col min="10767" max="10767" width="3.85546875" style="50" customWidth="1"/>
    <col min="10768" max="10768" width="6.5703125" style="50" customWidth="1"/>
    <col min="10769" max="10769" width="3.85546875" style="50" customWidth="1"/>
    <col min="10770" max="11008" width="9.140625" style="50"/>
    <col min="11009" max="11009" width="19.7109375" style="50" customWidth="1"/>
    <col min="11010" max="11010" width="11.5703125" style="50" customWidth="1"/>
    <col min="11011" max="11011" width="16.140625" style="50" customWidth="1"/>
    <col min="11012" max="11012" width="7.5703125" style="50" customWidth="1"/>
    <col min="11013" max="11013" width="5.85546875" style="50" customWidth="1"/>
    <col min="11014" max="11014" width="6.5703125" style="50" customWidth="1"/>
    <col min="11015" max="11015" width="3.85546875" style="50" customWidth="1"/>
    <col min="11016" max="11016" width="6.5703125" style="50" customWidth="1"/>
    <col min="11017" max="11017" width="3.85546875" style="50" customWidth="1"/>
    <col min="11018" max="11018" width="6.5703125" style="50" customWidth="1"/>
    <col min="11019" max="11019" width="3.85546875" style="50" customWidth="1"/>
    <col min="11020" max="11020" width="6.5703125" style="50" customWidth="1"/>
    <col min="11021" max="11021" width="3.85546875" style="50" customWidth="1"/>
    <col min="11022" max="11022" width="6.5703125" style="50" customWidth="1"/>
    <col min="11023" max="11023" width="3.85546875" style="50" customWidth="1"/>
    <col min="11024" max="11024" width="6.5703125" style="50" customWidth="1"/>
    <col min="11025" max="11025" width="3.85546875" style="50" customWidth="1"/>
    <col min="11026" max="11264" width="9.140625" style="50"/>
    <col min="11265" max="11265" width="19.7109375" style="50" customWidth="1"/>
    <col min="11266" max="11266" width="11.5703125" style="50" customWidth="1"/>
    <col min="11267" max="11267" width="16.140625" style="50" customWidth="1"/>
    <col min="11268" max="11268" width="7.5703125" style="50" customWidth="1"/>
    <col min="11269" max="11269" width="5.85546875" style="50" customWidth="1"/>
    <col min="11270" max="11270" width="6.5703125" style="50" customWidth="1"/>
    <col min="11271" max="11271" width="3.85546875" style="50" customWidth="1"/>
    <col min="11272" max="11272" width="6.5703125" style="50" customWidth="1"/>
    <col min="11273" max="11273" width="3.85546875" style="50" customWidth="1"/>
    <col min="11274" max="11274" width="6.5703125" style="50" customWidth="1"/>
    <col min="11275" max="11275" width="3.85546875" style="50" customWidth="1"/>
    <col min="11276" max="11276" width="6.5703125" style="50" customWidth="1"/>
    <col min="11277" max="11277" width="3.85546875" style="50" customWidth="1"/>
    <col min="11278" max="11278" width="6.5703125" style="50" customWidth="1"/>
    <col min="11279" max="11279" width="3.85546875" style="50" customWidth="1"/>
    <col min="11280" max="11280" width="6.5703125" style="50" customWidth="1"/>
    <col min="11281" max="11281" width="3.85546875" style="50" customWidth="1"/>
    <col min="11282" max="11520" width="9.140625" style="50"/>
    <col min="11521" max="11521" width="19.7109375" style="50" customWidth="1"/>
    <col min="11522" max="11522" width="11.5703125" style="50" customWidth="1"/>
    <col min="11523" max="11523" width="16.140625" style="50" customWidth="1"/>
    <col min="11524" max="11524" width="7.5703125" style="50" customWidth="1"/>
    <col min="11525" max="11525" width="5.85546875" style="50" customWidth="1"/>
    <col min="11526" max="11526" width="6.5703125" style="50" customWidth="1"/>
    <col min="11527" max="11527" width="3.85546875" style="50" customWidth="1"/>
    <col min="11528" max="11528" width="6.5703125" style="50" customWidth="1"/>
    <col min="11529" max="11529" width="3.85546875" style="50" customWidth="1"/>
    <col min="11530" max="11530" width="6.5703125" style="50" customWidth="1"/>
    <col min="11531" max="11531" width="3.85546875" style="50" customWidth="1"/>
    <col min="11532" max="11532" width="6.5703125" style="50" customWidth="1"/>
    <col min="11533" max="11533" width="3.85546875" style="50" customWidth="1"/>
    <col min="11534" max="11534" width="6.5703125" style="50" customWidth="1"/>
    <col min="11535" max="11535" width="3.85546875" style="50" customWidth="1"/>
    <col min="11536" max="11536" width="6.5703125" style="50" customWidth="1"/>
    <col min="11537" max="11537" width="3.85546875" style="50" customWidth="1"/>
    <col min="11538" max="11776" width="9.140625" style="50"/>
    <col min="11777" max="11777" width="19.7109375" style="50" customWidth="1"/>
    <col min="11778" max="11778" width="11.5703125" style="50" customWidth="1"/>
    <col min="11779" max="11779" width="16.140625" style="50" customWidth="1"/>
    <col min="11780" max="11780" width="7.5703125" style="50" customWidth="1"/>
    <col min="11781" max="11781" width="5.85546875" style="50" customWidth="1"/>
    <col min="11782" max="11782" width="6.5703125" style="50" customWidth="1"/>
    <col min="11783" max="11783" width="3.85546875" style="50" customWidth="1"/>
    <col min="11784" max="11784" width="6.5703125" style="50" customWidth="1"/>
    <col min="11785" max="11785" width="3.85546875" style="50" customWidth="1"/>
    <col min="11786" max="11786" width="6.5703125" style="50" customWidth="1"/>
    <col min="11787" max="11787" width="3.85546875" style="50" customWidth="1"/>
    <col min="11788" max="11788" width="6.5703125" style="50" customWidth="1"/>
    <col min="11789" max="11789" width="3.85546875" style="50" customWidth="1"/>
    <col min="11790" max="11790" width="6.5703125" style="50" customWidth="1"/>
    <col min="11791" max="11791" width="3.85546875" style="50" customWidth="1"/>
    <col min="11792" max="11792" width="6.5703125" style="50" customWidth="1"/>
    <col min="11793" max="11793" width="3.85546875" style="50" customWidth="1"/>
    <col min="11794" max="12032" width="9.140625" style="50"/>
    <col min="12033" max="12033" width="19.7109375" style="50" customWidth="1"/>
    <col min="12034" max="12034" width="11.5703125" style="50" customWidth="1"/>
    <col min="12035" max="12035" width="16.140625" style="50" customWidth="1"/>
    <col min="12036" max="12036" width="7.5703125" style="50" customWidth="1"/>
    <col min="12037" max="12037" width="5.85546875" style="50" customWidth="1"/>
    <col min="12038" max="12038" width="6.5703125" style="50" customWidth="1"/>
    <col min="12039" max="12039" width="3.85546875" style="50" customWidth="1"/>
    <col min="12040" max="12040" width="6.5703125" style="50" customWidth="1"/>
    <col min="12041" max="12041" width="3.85546875" style="50" customWidth="1"/>
    <col min="12042" max="12042" width="6.5703125" style="50" customWidth="1"/>
    <col min="12043" max="12043" width="3.85546875" style="50" customWidth="1"/>
    <col min="12044" max="12044" width="6.5703125" style="50" customWidth="1"/>
    <col min="12045" max="12045" width="3.85546875" style="50" customWidth="1"/>
    <col min="12046" max="12046" width="6.5703125" style="50" customWidth="1"/>
    <col min="12047" max="12047" width="3.85546875" style="50" customWidth="1"/>
    <col min="12048" max="12048" width="6.5703125" style="50" customWidth="1"/>
    <col min="12049" max="12049" width="3.85546875" style="50" customWidth="1"/>
    <col min="12050" max="12288" width="9.140625" style="50"/>
    <col min="12289" max="12289" width="19.7109375" style="50" customWidth="1"/>
    <col min="12290" max="12290" width="11.5703125" style="50" customWidth="1"/>
    <col min="12291" max="12291" width="16.140625" style="50" customWidth="1"/>
    <col min="12292" max="12292" width="7.5703125" style="50" customWidth="1"/>
    <col min="12293" max="12293" width="5.85546875" style="50" customWidth="1"/>
    <col min="12294" max="12294" width="6.5703125" style="50" customWidth="1"/>
    <col min="12295" max="12295" width="3.85546875" style="50" customWidth="1"/>
    <col min="12296" max="12296" width="6.5703125" style="50" customWidth="1"/>
    <col min="12297" max="12297" width="3.85546875" style="50" customWidth="1"/>
    <col min="12298" max="12298" width="6.5703125" style="50" customWidth="1"/>
    <col min="12299" max="12299" width="3.85546875" style="50" customWidth="1"/>
    <col min="12300" max="12300" width="6.5703125" style="50" customWidth="1"/>
    <col min="12301" max="12301" width="3.85546875" style="50" customWidth="1"/>
    <col min="12302" max="12302" width="6.5703125" style="50" customWidth="1"/>
    <col min="12303" max="12303" width="3.85546875" style="50" customWidth="1"/>
    <col min="12304" max="12304" width="6.5703125" style="50" customWidth="1"/>
    <col min="12305" max="12305" width="3.85546875" style="50" customWidth="1"/>
    <col min="12306" max="12544" width="9.140625" style="50"/>
    <col min="12545" max="12545" width="19.7109375" style="50" customWidth="1"/>
    <col min="12546" max="12546" width="11.5703125" style="50" customWidth="1"/>
    <col min="12547" max="12547" width="16.140625" style="50" customWidth="1"/>
    <col min="12548" max="12548" width="7.5703125" style="50" customWidth="1"/>
    <col min="12549" max="12549" width="5.85546875" style="50" customWidth="1"/>
    <col min="12550" max="12550" width="6.5703125" style="50" customWidth="1"/>
    <col min="12551" max="12551" width="3.85546875" style="50" customWidth="1"/>
    <col min="12552" max="12552" width="6.5703125" style="50" customWidth="1"/>
    <col min="12553" max="12553" width="3.85546875" style="50" customWidth="1"/>
    <col min="12554" max="12554" width="6.5703125" style="50" customWidth="1"/>
    <col min="12555" max="12555" width="3.85546875" style="50" customWidth="1"/>
    <col min="12556" max="12556" width="6.5703125" style="50" customWidth="1"/>
    <col min="12557" max="12557" width="3.85546875" style="50" customWidth="1"/>
    <col min="12558" max="12558" width="6.5703125" style="50" customWidth="1"/>
    <col min="12559" max="12559" width="3.85546875" style="50" customWidth="1"/>
    <col min="12560" max="12560" width="6.5703125" style="50" customWidth="1"/>
    <col min="12561" max="12561" width="3.85546875" style="50" customWidth="1"/>
    <col min="12562" max="12800" width="9.140625" style="50"/>
    <col min="12801" max="12801" width="19.7109375" style="50" customWidth="1"/>
    <col min="12802" max="12802" width="11.5703125" style="50" customWidth="1"/>
    <col min="12803" max="12803" width="16.140625" style="50" customWidth="1"/>
    <col min="12804" max="12804" width="7.5703125" style="50" customWidth="1"/>
    <col min="12805" max="12805" width="5.85546875" style="50" customWidth="1"/>
    <col min="12806" max="12806" width="6.5703125" style="50" customWidth="1"/>
    <col min="12807" max="12807" width="3.85546875" style="50" customWidth="1"/>
    <col min="12808" max="12808" width="6.5703125" style="50" customWidth="1"/>
    <col min="12809" max="12809" width="3.85546875" style="50" customWidth="1"/>
    <col min="12810" max="12810" width="6.5703125" style="50" customWidth="1"/>
    <col min="12811" max="12811" width="3.85546875" style="50" customWidth="1"/>
    <col min="12812" max="12812" width="6.5703125" style="50" customWidth="1"/>
    <col min="12813" max="12813" width="3.85546875" style="50" customWidth="1"/>
    <col min="12814" max="12814" width="6.5703125" style="50" customWidth="1"/>
    <col min="12815" max="12815" width="3.85546875" style="50" customWidth="1"/>
    <col min="12816" max="12816" width="6.5703125" style="50" customWidth="1"/>
    <col min="12817" max="12817" width="3.85546875" style="50" customWidth="1"/>
    <col min="12818" max="13056" width="9.140625" style="50"/>
    <col min="13057" max="13057" width="19.7109375" style="50" customWidth="1"/>
    <col min="13058" max="13058" width="11.5703125" style="50" customWidth="1"/>
    <col min="13059" max="13059" width="16.140625" style="50" customWidth="1"/>
    <col min="13060" max="13060" width="7.5703125" style="50" customWidth="1"/>
    <col min="13061" max="13061" width="5.85546875" style="50" customWidth="1"/>
    <col min="13062" max="13062" width="6.5703125" style="50" customWidth="1"/>
    <col min="13063" max="13063" width="3.85546875" style="50" customWidth="1"/>
    <col min="13064" max="13064" width="6.5703125" style="50" customWidth="1"/>
    <col min="13065" max="13065" width="3.85546875" style="50" customWidth="1"/>
    <col min="13066" max="13066" width="6.5703125" style="50" customWidth="1"/>
    <col min="13067" max="13067" width="3.85546875" style="50" customWidth="1"/>
    <col min="13068" max="13068" width="6.5703125" style="50" customWidth="1"/>
    <col min="13069" max="13069" width="3.85546875" style="50" customWidth="1"/>
    <col min="13070" max="13070" width="6.5703125" style="50" customWidth="1"/>
    <col min="13071" max="13071" width="3.85546875" style="50" customWidth="1"/>
    <col min="13072" max="13072" width="6.5703125" style="50" customWidth="1"/>
    <col min="13073" max="13073" width="3.85546875" style="50" customWidth="1"/>
    <col min="13074" max="13312" width="9.140625" style="50"/>
    <col min="13313" max="13313" width="19.7109375" style="50" customWidth="1"/>
    <col min="13314" max="13314" width="11.5703125" style="50" customWidth="1"/>
    <col min="13315" max="13315" width="16.140625" style="50" customWidth="1"/>
    <col min="13316" max="13316" width="7.5703125" style="50" customWidth="1"/>
    <col min="13317" max="13317" width="5.85546875" style="50" customWidth="1"/>
    <col min="13318" max="13318" width="6.5703125" style="50" customWidth="1"/>
    <col min="13319" max="13319" width="3.85546875" style="50" customWidth="1"/>
    <col min="13320" max="13320" width="6.5703125" style="50" customWidth="1"/>
    <col min="13321" max="13321" width="3.85546875" style="50" customWidth="1"/>
    <col min="13322" max="13322" width="6.5703125" style="50" customWidth="1"/>
    <col min="13323" max="13323" width="3.85546875" style="50" customWidth="1"/>
    <col min="13324" max="13324" width="6.5703125" style="50" customWidth="1"/>
    <col min="13325" max="13325" width="3.85546875" style="50" customWidth="1"/>
    <col min="13326" max="13326" width="6.5703125" style="50" customWidth="1"/>
    <col min="13327" max="13327" width="3.85546875" style="50" customWidth="1"/>
    <col min="13328" max="13328" width="6.5703125" style="50" customWidth="1"/>
    <col min="13329" max="13329" width="3.85546875" style="50" customWidth="1"/>
    <col min="13330" max="13568" width="9.140625" style="50"/>
    <col min="13569" max="13569" width="19.7109375" style="50" customWidth="1"/>
    <col min="13570" max="13570" width="11.5703125" style="50" customWidth="1"/>
    <col min="13571" max="13571" width="16.140625" style="50" customWidth="1"/>
    <col min="13572" max="13572" width="7.5703125" style="50" customWidth="1"/>
    <col min="13573" max="13573" width="5.85546875" style="50" customWidth="1"/>
    <col min="13574" max="13574" width="6.5703125" style="50" customWidth="1"/>
    <col min="13575" max="13575" width="3.85546875" style="50" customWidth="1"/>
    <col min="13576" max="13576" width="6.5703125" style="50" customWidth="1"/>
    <col min="13577" max="13577" width="3.85546875" style="50" customWidth="1"/>
    <col min="13578" max="13578" width="6.5703125" style="50" customWidth="1"/>
    <col min="13579" max="13579" width="3.85546875" style="50" customWidth="1"/>
    <col min="13580" max="13580" width="6.5703125" style="50" customWidth="1"/>
    <col min="13581" max="13581" width="3.85546875" style="50" customWidth="1"/>
    <col min="13582" max="13582" width="6.5703125" style="50" customWidth="1"/>
    <col min="13583" max="13583" width="3.85546875" style="50" customWidth="1"/>
    <col min="13584" max="13584" width="6.5703125" style="50" customWidth="1"/>
    <col min="13585" max="13585" width="3.85546875" style="50" customWidth="1"/>
    <col min="13586" max="13824" width="9.140625" style="50"/>
    <col min="13825" max="13825" width="19.7109375" style="50" customWidth="1"/>
    <col min="13826" max="13826" width="11.5703125" style="50" customWidth="1"/>
    <col min="13827" max="13827" width="16.140625" style="50" customWidth="1"/>
    <col min="13828" max="13828" width="7.5703125" style="50" customWidth="1"/>
    <col min="13829" max="13829" width="5.85546875" style="50" customWidth="1"/>
    <col min="13830" max="13830" width="6.5703125" style="50" customWidth="1"/>
    <col min="13831" max="13831" width="3.85546875" style="50" customWidth="1"/>
    <col min="13832" max="13832" width="6.5703125" style="50" customWidth="1"/>
    <col min="13833" max="13833" width="3.85546875" style="50" customWidth="1"/>
    <col min="13834" max="13834" width="6.5703125" style="50" customWidth="1"/>
    <col min="13835" max="13835" width="3.85546875" style="50" customWidth="1"/>
    <col min="13836" max="13836" width="6.5703125" style="50" customWidth="1"/>
    <col min="13837" max="13837" width="3.85546875" style="50" customWidth="1"/>
    <col min="13838" max="13838" width="6.5703125" style="50" customWidth="1"/>
    <col min="13839" max="13839" width="3.85546875" style="50" customWidth="1"/>
    <col min="13840" max="13840" width="6.5703125" style="50" customWidth="1"/>
    <col min="13841" max="13841" width="3.85546875" style="50" customWidth="1"/>
    <col min="13842" max="14080" width="9.140625" style="50"/>
    <col min="14081" max="14081" width="19.7109375" style="50" customWidth="1"/>
    <col min="14082" max="14082" width="11.5703125" style="50" customWidth="1"/>
    <col min="14083" max="14083" width="16.140625" style="50" customWidth="1"/>
    <col min="14084" max="14084" width="7.5703125" style="50" customWidth="1"/>
    <col min="14085" max="14085" width="5.85546875" style="50" customWidth="1"/>
    <col min="14086" max="14086" width="6.5703125" style="50" customWidth="1"/>
    <col min="14087" max="14087" width="3.85546875" style="50" customWidth="1"/>
    <col min="14088" max="14088" width="6.5703125" style="50" customWidth="1"/>
    <col min="14089" max="14089" width="3.85546875" style="50" customWidth="1"/>
    <col min="14090" max="14090" width="6.5703125" style="50" customWidth="1"/>
    <col min="14091" max="14091" width="3.85546875" style="50" customWidth="1"/>
    <col min="14092" max="14092" width="6.5703125" style="50" customWidth="1"/>
    <col min="14093" max="14093" width="3.85546875" style="50" customWidth="1"/>
    <col min="14094" max="14094" width="6.5703125" style="50" customWidth="1"/>
    <col min="14095" max="14095" width="3.85546875" style="50" customWidth="1"/>
    <col min="14096" max="14096" width="6.5703125" style="50" customWidth="1"/>
    <col min="14097" max="14097" width="3.85546875" style="50" customWidth="1"/>
    <col min="14098" max="14336" width="9.140625" style="50"/>
    <col min="14337" max="14337" width="19.7109375" style="50" customWidth="1"/>
    <col min="14338" max="14338" width="11.5703125" style="50" customWidth="1"/>
    <col min="14339" max="14339" width="16.140625" style="50" customWidth="1"/>
    <col min="14340" max="14340" width="7.5703125" style="50" customWidth="1"/>
    <col min="14341" max="14341" width="5.85546875" style="50" customWidth="1"/>
    <col min="14342" max="14342" width="6.5703125" style="50" customWidth="1"/>
    <col min="14343" max="14343" width="3.85546875" style="50" customWidth="1"/>
    <col min="14344" max="14344" width="6.5703125" style="50" customWidth="1"/>
    <col min="14345" max="14345" width="3.85546875" style="50" customWidth="1"/>
    <col min="14346" max="14346" width="6.5703125" style="50" customWidth="1"/>
    <col min="14347" max="14347" width="3.85546875" style="50" customWidth="1"/>
    <col min="14348" max="14348" width="6.5703125" style="50" customWidth="1"/>
    <col min="14349" max="14349" width="3.85546875" style="50" customWidth="1"/>
    <col min="14350" max="14350" width="6.5703125" style="50" customWidth="1"/>
    <col min="14351" max="14351" width="3.85546875" style="50" customWidth="1"/>
    <col min="14352" max="14352" width="6.5703125" style="50" customWidth="1"/>
    <col min="14353" max="14353" width="3.85546875" style="50" customWidth="1"/>
    <col min="14354" max="14592" width="9.140625" style="50"/>
    <col min="14593" max="14593" width="19.7109375" style="50" customWidth="1"/>
    <col min="14594" max="14594" width="11.5703125" style="50" customWidth="1"/>
    <col min="14595" max="14595" width="16.140625" style="50" customWidth="1"/>
    <col min="14596" max="14596" width="7.5703125" style="50" customWidth="1"/>
    <col min="14597" max="14597" width="5.85546875" style="50" customWidth="1"/>
    <col min="14598" max="14598" width="6.5703125" style="50" customWidth="1"/>
    <col min="14599" max="14599" width="3.85546875" style="50" customWidth="1"/>
    <col min="14600" max="14600" width="6.5703125" style="50" customWidth="1"/>
    <col min="14601" max="14601" width="3.85546875" style="50" customWidth="1"/>
    <col min="14602" max="14602" width="6.5703125" style="50" customWidth="1"/>
    <col min="14603" max="14603" width="3.85546875" style="50" customWidth="1"/>
    <col min="14604" max="14604" width="6.5703125" style="50" customWidth="1"/>
    <col min="14605" max="14605" width="3.85546875" style="50" customWidth="1"/>
    <col min="14606" max="14606" width="6.5703125" style="50" customWidth="1"/>
    <col min="14607" max="14607" width="3.85546875" style="50" customWidth="1"/>
    <col min="14608" max="14608" width="6.5703125" style="50" customWidth="1"/>
    <col min="14609" max="14609" width="3.85546875" style="50" customWidth="1"/>
    <col min="14610" max="14848" width="9.140625" style="50"/>
    <col min="14849" max="14849" width="19.7109375" style="50" customWidth="1"/>
    <col min="14850" max="14850" width="11.5703125" style="50" customWidth="1"/>
    <col min="14851" max="14851" width="16.140625" style="50" customWidth="1"/>
    <col min="14852" max="14852" width="7.5703125" style="50" customWidth="1"/>
    <col min="14853" max="14853" width="5.85546875" style="50" customWidth="1"/>
    <col min="14854" max="14854" width="6.5703125" style="50" customWidth="1"/>
    <col min="14855" max="14855" width="3.85546875" style="50" customWidth="1"/>
    <col min="14856" max="14856" width="6.5703125" style="50" customWidth="1"/>
    <col min="14857" max="14857" width="3.85546875" style="50" customWidth="1"/>
    <col min="14858" max="14858" width="6.5703125" style="50" customWidth="1"/>
    <col min="14859" max="14859" width="3.85546875" style="50" customWidth="1"/>
    <col min="14860" max="14860" width="6.5703125" style="50" customWidth="1"/>
    <col min="14861" max="14861" width="3.85546875" style="50" customWidth="1"/>
    <col min="14862" max="14862" width="6.5703125" style="50" customWidth="1"/>
    <col min="14863" max="14863" width="3.85546875" style="50" customWidth="1"/>
    <col min="14864" max="14864" width="6.5703125" style="50" customWidth="1"/>
    <col min="14865" max="14865" width="3.85546875" style="50" customWidth="1"/>
    <col min="14866" max="15104" width="9.140625" style="50"/>
    <col min="15105" max="15105" width="19.7109375" style="50" customWidth="1"/>
    <col min="15106" max="15106" width="11.5703125" style="50" customWidth="1"/>
    <col min="15107" max="15107" width="16.140625" style="50" customWidth="1"/>
    <col min="15108" max="15108" width="7.5703125" style="50" customWidth="1"/>
    <col min="15109" max="15109" width="5.85546875" style="50" customWidth="1"/>
    <col min="15110" max="15110" width="6.5703125" style="50" customWidth="1"/>
    <col min="15111" max="15111" width="3.85546875" style="50" customWidth="1"/>
    <col min="15112" max="15112" width="6.5703125" style="50" customWidth="1"/>
    <col min="15113" max="15113" width="3.85546875" style="50" customWidth="1"/>
    <col min="15114" max="15114" width="6.5703125" style="50" customWidth="1"/>
    <col min="15115" max="15115" width="3.85546875" style="50" customWidth="1"/>
    <col min="15116" max="15116" width="6.5703125" style="50" customWidth="1"/>
    <col min="15117" max="15117" width="3.85546875" style="50" customWidth="1"/>
    <col min="15118" max="15118" width="6.5703125" style="50" customWidth="1"/>
    <col min="15119" max="15119" width="3.85546875" style="50" customWidth="1"/>
    <col min="15120" max="15120" width="6.5703125" style="50" customWidth="1"/>
    <col min="15121" max="15121" width="3.85546875" style="50" customWidth="1"/>
    <col min="15122" max="15360" width="9.140625" style="50"/>
    <col min="15361" max="15361" width="19.7109375" style="50" customWidth="1"/>
    <col min="15362" max="15362" width="11.5703125" style="50" customWidth="1"/>
    <col min="15363" max="15363" width="16.140625" style="50" customWidth="1"/>
    <col min="15364" max="15364" width="7.5703125" style="50" customWidth="1"/>
    <col min="15365" max="15365" width="5.85546875" style="50" customWidth="1"/>
    <col min="15366" max="15366" width="6.5703125" style="50" customWidth="1"/>
    <col min="15367" max="15367" width="3.85546875" style="50" customWidth="1"/>
    <col min="15368" max="15368" width="6.5703125" style="50" customWidth="1"/>
    <col min="15369" max="15369" width="3.85546875" style="50" customWidth="1"/>
    <col min="15370" max="15370" width="6.5703125" style="50" customWidth="1"/>
    <col min="15371" max="15371" width="3.85546875" style="50" customWidth="1"/>
    <col min="15372" max="15372" width="6.5703125" style="50" customWidth="1"/>
    <col min="15373" max="15373" width="3.85546875" style="50" customWidth="1"/>
    <col min="15374" max="15374" width="6.5703125" style="50" customWidth="1"/>
    <col min="15375" max="15375" width="3.85546875" style="50" customWidth="1"/>
    <col min="15376" max="15376" width="6.5703125" style="50" customWidth="1"/>
    <col min="15377" max="15377" width="3.85546875" style="50" customWidth="1"/>
    <col min="15378" max="15616" width="9.140625" style="50"/>
    <col min="15617" max="15617" width="19.7109375" style="50" customWidth="1"/>
    <col min="15618" max="15618" width="11.5703125" style="50" customWidth="1"/>
    <col min="15619" max="15619" width="16.140625" style="50" customWidth="1"/>
    <col min="15620" max="15620" width="7.5703125" style="50" customWidth="1"/>
    <col min="15621" max="15621" width="5.85546875" style="50" customWidth="1"/>
    <col min="15622" max="15622" width="6.5703125" style="50" customWidth="1"/>
    <col min="15623" max="15623" width="3.85546875" style="50" customWidth="1"/>
    <col min="15624" max="15624" width="6.5703125" style="50" customWidth="1"/>
    <col min="15625" max="15625" width="3.85546875" style="50" customWidth="1"/>
    <col min="15626" max="15626" width="6.5703125" style="50" customWidth="1"/>
    <col min="15627" max="15627" width="3.85546875" style="50" customWidth="1"/>
    <col min="15628" max="15628" width="6.5703125" style="50" customWidth="1"/>
    <col min="15629" max="15629" width="3.85546875" style="50" customWidth="1"/>
    <col min="15630" max="15630" width="6.5703125" style="50" customWidth="1"/>
    <col min="15631" max="15631" width="3.85546875" style="50" customWidth="1"/>
    <col min="15632" max="15632" width="6.5703125" style="50" customWidth="1"/>
    <col min="15633" max="15633" width="3.85546875" style="50" customWidth="1"/>
    <col min="15634" max="15872" width="9.140625" style="50"/>
    <col min="15873" max="15873" width="19.7109375" style="50" customWidth="1"/>
    <col min="15874" max="15874" width="11.5703125" style="50" customWidth="1"/>
    <col min="15875" max="15875" width="16.140625" style="50" customWidth="1"/>
    <col min="15876" max="15876" width="7.5703125" style="50" customWidth="1"/>
    <col min="15877" max="15877" width="5.85546875" style="50" customWidth="1"/>
    <col min="15878" max="15878" width="6.5703125" style="50" customWidth="1"/>
    <col min="15879" max="15879" width="3.85546875" style="50" customWidth="1"/>
    <col min="15880" max="15880" width="6.5703125" style="50" customWidth="1"/>
    <col min="15881" max="15881" width="3.85546875" style="50" customWidth="1"/>
    <col min="15882" max="15882" width="6.5703125" style="50" customWidth="1"/>
    <col min="15883" max="15883" width="3.85546875" style="50" customWidth="1"/>
    <col min="15884" max="15884" width="6.5703125" style="50" customWidth="1"/>
    <col min="15885" max="15885" width="3.85546875" style="50" customWidth="1"/>
    <col min="15886" max="15886" width="6.5703125" style="50" customWidth="1"/>
    <col min="15887" max="15887" width="3.85546875" style="50" customWidth="1"/>
    <col min="15888" max="15888" width="6.5703125" style="50" customWidth="1"/>
    <col min="15889" max="15889" width="3.85546875" style="50" customWidth="1"/>
    <col min="15890" max="16128" width="9.140625" style="50"/>
    <col min="16129" max="16129" width="19.7109375" style="50" customWidth="1"/>
    <col min="16130" max="16130" width="11.5703125" style="50" customWidth="1"/>
    <col min="16131" max="16131" width="16.140625" style="50" customWidth="1"/>
    <col min="16132" max="16132" width="7.5703125" style="50" customWidth="1"/>
    <col min="16133" max="16133" width="5.85546875" style="50" customWidth="1"/>
    <col min="16134" max="16134" width="6.5703125" style="50" customWidth="1"/>
    <col min="16135" max="16135" width="3.85546875" style="50" customWidth="1"/>
    <col min="16136" max="16136" width="6.5703125" style="50" customWidth="1"/>
    <col min="16137" max="16137" width="3.85546875" style="50" customWidth="1"/>
    <col min="16138" max="16138" width="6.5703125" style="50" customWidth="1"/>
    <col min="16139" max="16139" width="3.85546875" style="50" customWidth="1"/>
    <col min="16140" max="16140" width="6.5703125" style="50" customWidth="1"/>
    <col min="16141" max="16141" width="3.85546875" style="50" customWidth="1"/>
    <col min="16142" max="16142" width="6.5703125" style="50" customWidth="1"/>
    <col min="16143" max="16143" width="3.85546875" style="50" customWidth="1"/>
    <col min="16144" max="16144" width="6.5703125" style="50" customWidth="1"/>
    <col min="16145" max="16145" width="3.85546875" style="50" customWidth="1"/>
    <col min="16146" max="16384" width="9.140625" style="50"/>
  </cols>
  <sheetData>
    <row r="1" spans="1:23" s="40" customFormat="1" ht="58.5" customHeight="1" thickBot="1" x14ac:dyDescent="0.25">
      <c r="J1" s="41"/>
      <c r="N1" s="41"/>
      <c r="O1" s="41"/>
      <c r="R1" s="42" t="s">
        <v>99</v>
      </c>
      <c r="S1" s="41"/>
      <c r="T1" s="41"/>
      <c r="U1" s="43" t="s">
        <v>100</v>
      </c>
    </row>
    <row r="2" spans="1:23" s="120" customFormat="1" ht="18" x14ac:dyDescent="0.25">
      <c r="A2" s="115" t="s">
        <v>168</v>
      </c>
      <c r="B2" s="116"/>
      <c r="C2" s="116"/>
      <c r="D2" s="116"/>
      <c r="E2" s="116"/>
      <c r="F2" s="117"/>
      <c r="G2" s="116"/>
      <c r="H2" s="116"/>
      <c r="I2" s="116"/>
      <c r="J2" s="116"/>
      <c r="K2" s="116"/>
      <c r="L2" s="116"/>
      <c r="M2" s="116"/>
      <c r="N2" s="116"/>
      <c r="O2" s="116"/>
      <c r="P2" s="118"/>
      <c r="Q2" s="116"/>
      <c r="R2" s="116"/>
      <c r="S2" s="119" t="s">
        <v>116</v>
      </c>
      <c r="T2" s="266">
        <v>41865</v>
      </c>
      <c r="U2" s="267"/>
    </row>
    <row r="3" spans="1:23" s="120" customFormat="1" ht="9.75" customHeight="1" x14ac:dyDescent="0.25">
      <c r="A3" s="121"/>
      <c r="B3" s="122"/>
      <c r="C3" s="122"/>
      <c r="D3" s="122"/>
      <c r="E3" s="122"/>
      <c r="F3" s="123"/>
      <c r="G3" s="123"/>
      <c r="H3" s="123"/>
      <c r="I3" s="122"/>
      <c r="J3" s="123"/>
      <c r="K3" s="123"/>
      <c r="L3" s="123"/>
      <c r="M3" s="122"/>
      <c r="N3" s="123"/>
      <c r="O3" s="122"/>
      <c r="P3" s="123"/>
      <c r="Q3" s="122"/>
      <c r="R3" s="122"/>
      <c r="S3" s="122"/>
      <c r="T3" s="122"/>
      <c r="U3" s="124"/>
    </row>
    <row r="4" spans="1:23" s="120" customFormat="1" ht="15.75" x14ac:dyDescent="0.25">
      <c r="A4" s="125" t="s">
        <v>169</v>
      </c>
      <c r="B4" s="123" t="s">
        <v>170</v>
      </c>
      <c r="C4" s="123" t="s">
        <v>171</v>
      </c>
      <c r="D4" s="126" t="s">
        <v>172</v>
      </c>
      <c r="E4" s="123" t="s">
        <v>173</v>
      </c>
      <c r="F4" s="122"/>
      <c r="G4" s="122"/>
      <c r="H4" s="122"/>
      <c r="I4" s="122"/>
      <c r="J4" s="122"/>
      <c r="K4" s="122"/>
      <c r="L4" s="122"/>
      <c r="M4" s="122"/>
      <c r="N4" s="122"/>
      <c r="O4" s="122"/>
      <c r="P4" s="122"/>
      <c r="Q4" s="122"/>
      <c r="R4" s="122"/>
      <c r="S4" s="122"/>
      <c r="T4" s="122"/>
      <c r="U4" s="124"/>
    </row>
    <row r="5" spans="1:23" x14ac:dyDescent="0.2">
      <c r="A5" s="73"/>
      <c r="D5" s="127"/>
      <c r="U5" s="76"/>
      <c r="V5" s="50"/>
      <c r="W5" s="50"/>
    </row>
    <row r="6" spans="1:23" x14ac:dyDescent="0.2">
      <c r="A6" s="73" t="s">
        <v>119</v>
      </c>
      <c r="B6" s="40" t="s">
        <v>174</v>
      </c>
      <c r="C6" s="40" t="s">
        <v>175</v>
      </c>
      <c r="D6" s="127">
        <v>194.19</v>
      </c>
      <c r="E6" s="128" t="s">
        <v>176</v>
      </c>
      <c r="U6" s="76"/>
      <c r="V6" s="50"/>
      <c r="W6" s="50"/>
    </row>
    <row r="7" spans="1:23" x14ac:dyDescent="0.2">
      <c r="A7" s="73" t="s">
        <v>177</v>
      </c>
      <c r="B7" s="40" t="s">
        <v>174</v>
      </c>
      <c r="C7" s="40" t="s">
        <v>178</v>
      </c>
      <c r="D7" s="127">
        <v>194.19</v>
      </c>
      <c r="E7" s="128" t="s">
        <v>176</v>
      </c>
      <c r="U7" s="76"/>
      <c r="V7" s="50"/>
      <c r="W7" s="50"/>
    </row>
    <row r="8" spans="1:23" x14ac:dyDescent="0.2">
      <c r="A8" s="73" t="s">
        <v>179</v>
      </c>
      <c r="B8" s="40" t="s">
        <v>180</v>
      </c>
      <c r="C8" s="40" t="s">
        <v>181</v>
      </c>
      <c r="D8" s="127">
        <v>607.70000000000005</v>
      </c>
      <c r="E8" s="128" t="s">
        <v>182</v>
      </c>
      <c r="U8" s="76"/>
      <c r="V8" s="50"/>
      <c r="W8" s="50"/>
    </row>
    <row r="9" spans="1:23" x14ac:dyDescent="0.2">
      <c r="A9" s="73"/>
      <c r="B9" s="40" t="s">
        <v>174</v>
      </c>
      <c r="C9" s="40" t="s">
        <v>183</v>
      </c>
      <c r="D9" s="127">
        <v>523.65</v>
      </c>
      <c r="E9" s="128" t="s">
        <v>176</v>
      </c>
      <c r="U9" s="76"/>
      <c r="V9" s="50"/>
      <c r="W9" s="50"/>
    </row>
    <row r="10" spans="1:23" x14ac:dyDescent="0.2">
      <c r="A10" s="73"/>
      <c r="B10" s="40" t="s">
        <v>184</v>
      </c>
      <c r="C10" s="40" t="s">
        <v>185</v>
      </c>
      <c r="D10" s="127">
        <v>523.65</v>
      </c>
      <c r="E10" s="128" t="s">
        <v>186</v>
      </c>
      <c r="U10" s="76"/>
      <c r="V10" s="50"/>
      <c r="W10" s="50"/>
    </row>
    <row r="11" spans="1:23" x14ac:dyDescent="0.2">
      <c r="A11" s="73" t="s">
        <v>187</v>
      </c>
      <c r="B11" s="40" t="s">
        <v>188</v>
      </c>
      <c r="C11" s="129">
        <v>16698</v>
      </c>
      <c r="D11" s="127"/>
      <c r="E11" s="128" t="s">
        <v>189</v>
      </c>
      <c r="U11" s="76"/>
      <c r="V11" s="50"/>
      <c r="W11" s="50"/>
    </row>
    <row r="12" spans="1:23" x14ac:dyDescent="0.2">
      <c r="A12" s="73"/>
      <c r="B12" s="40" t="s">
        <v>190</v>
      </c>
      <c r="C12" s="129" t="s">
        <v>191</v>
      </c>
      <c r="D12" s="127"/>
      <c r="E12" s="128"/>
      <c r="U12" s="76"/>
      <c r="V12" s="50"/>
      <c r="W12" s="50"/>
    </row>
    <row r="13" spans="1:23" x14ac:dyDescent="0.2">
      <c r="A13" s="73" t="s">
        <v>192</v>
      </c>
      <c r="B13" s="40" t="s">
        <v>174</v>
      </c>
      <c r="C13" s="40" t="s">
        <v>193</v>
      </c>
      <c r="D13" s="127">
        <v>73.14</v>
      </c>
      <c r="E13" s="128" t="s">
        <v>176</v>
      </c>
      <c r="U13" s="76"/>
      <c r="V13" s="50"/>
      <c r="W13" s="50"/>
    </row>
    <row r="14" spans="1:23" x14ac:dyDescent="0.2">
      <c r="A14" s="73" t="s">
        <v>194</v>
      </c>
      <c r="B14" s="40" t="s">
        <v>174</v>
      </c>
      <c r="C14" s="40" t="s">
        <v>195</v>
      </c>
      <c r="D14" s="127">
        <v>288.39999999999998</v>
      </c>
      <c r="E14" s="128" t="s">
        <v>176</v>
      </c>
      <c r="U14" s="76"/>
      <c r="V14" s="50"/>
      <c r="W14" s="50"/>
    </row>
    <row r="15" spans="1:23" x14ac:dyDescent="0.2">
      <c r="A15" s="73" t="s">
        <v>196</v>
      </c>
      <c r="B15" s="40" t="s">
        <v>174</v>
      </c>
      <c r="C15" s="40" t="s">
        <v>197</v>
      </c>
      <c r="D15" s="127">
        <v>537.70000000000005</v>
      </c>
      <c r="E15" s="128" t="s">
        <v>176</v>
      </c>
      <c r="U15" s="76"/>
      <c r="V15" s="50"/>
      <c r="W15" s="50"/>
    </row>
    <row r="16" spans="1:23" x14ac:dyDescent="0.2">
      <c r="A16" s="73" t="s">
        <v>198</v>
      </c>
      <c r="B16" s="40" t="s">
        <v>174</v>
      </c>
      <c r="C16" s="40" t="s">
        <v>199</v>
      </c>
      <c r="D16" s="127"/>
      <c r="E16" s="128" t="s">
        <v>176</v>
      </c>
      <c r="U16" s="76"/>
      <c r="V16" s="50"/>
      <c r="W16" s="50"/>
    </row>
    <row r="17" spans="1:23" x14ac:dyDescent="0.2">
      <c r="A17" s="73" t="s">
        <v>200</v>
      </c>
      <c r="B17" s="40" t="s">
        <v>174</v>
      </c>
      <c r="C17" s="40" t="s">
        <v>201</v>
      </c>
      <c r="D17" s="127">
        <v>1296</v>
      </c>
      <c r="E17" s="128"/>
      <c r="U17" s="76"/>
      <c r="V17" s="50"/>
      <c r="W17" s="50"/>
    </row>
    <row r="18" spans="1:23" x14ac:dyDescent="0.2">
      <c r="A18" s="73" t="s">
        <v>202</v>
      </c>
      <c r="B18" s="40" t="s">
        <v>203</v>
      </c>
      <c r="C18" s="40" t="s">
        <v>204</v>
      </c>
      <c r="D18" s="127">
        <v>4492</v>
      </c>
      <c r="E18" s="130" t="s">
        <v>205</v>
      </c>
      <c r="F18" s="50"/>
      <c r="G18" s="50"/>
      <c r="M18" s="50"/>
      <c r="N18" s="50"/>
      <c r="O18" s="131"/>
      <c r="P18" s="50"/>
      <c r="Q18" s="132"/>
      <c r="R18" s="133"/>
      <c r="S18" s="50"/>
      <c r="U18" s="76"/>
      <c r="V18" s="50"/>
      <c r="W18" s="50"/>
    </row>
    <row r="19" spans="1:23" x14ac:dyDescent="0.2">
      <c r="A19" s="134" t="s">
        <v>206</v>
      </c>
      <c r="B19" s="135" t="s">
        <v>207</v>
      </c>
      <c r="C19" s="135" t="s">
        <v>208</v>
      </c>
      <c r="D19" s="127"/>
      <c r="E19" s="128" t="s">
        <v>176</v>
      </c>
      <c r="F19" s="50"/>
      <c r="G19" s="50"/>
      <c r="M19" s="50"/>
      <c r="N19" s="50"/>
      <c r="O19" s="131"/>
      <c r="P19" s="50"/>
      <c r="Q19" s="132"/>
      <c r="R19" s="133"/>
      <c r="S19" s="50"/>
      <c r="U19" s="76"/>
      <c r="V19" s="50"/>
      <c r="W19" s="50"/>
    </row>
    <row r="20" spans="1:23" x14ac:dyDescent="0.2">
      <c r="A20" s="73" t="s">
        <v>209</v>
      </c>
      <c r="B20" s="40" t="s">
        <v>174</v>
      </c>
      <c r="C20" s="40" t="s">
        <v>210</v>
      </c>
      <c r="D20" s="127">
        <v>181.19</v>
      </c>
      <c r="E20" s="128" t="s">
        <v>176</v>
      </c>
      <c r="U20" s="76"/>
      <c r="V20" s="50"/>
      <c r="W20" s="50"/>
    </row>
    <row r="21" spans="1:23" x14ac:dyDescent="0.2">
      <c r="A21" s="73" t="s">
        <v>211</v>
      </c>
      <c r="B21" s="40" t="s">
        <v>174</v>
      </c>
      <c r="C21" s="40" t="s">
        <v>212</v>
      </c>
      <c r="D21" s="127">
        <v>507.54</v>
      </c>
      <c r="E21" s="128" t="s">
        <v>176</v>
      </c>
      <c r="U21" s="76"/>
      <c r="V21" s="50"/>
      <c r="W21" s="50"/>
    </row>
    <row r="22" spans="1:23" x14ac:dyDescent="0.2">
      <c r="A22" s="73" t="s">
        <v>213</v>
      </c>
      <c r="B22" s="40" t="s">
        <v>174</v>
      </c>
      <c r="C22" s="40" t="s">
        <v>214</v>
      </c>
      <c r="D22" s="127">
        <v>997.07</v>
      </c>
      <c r="E22" s="128" t="s">
        <v>176</v>
      </c>
      <c r="U22" s="76"/>
      <c r="V22" s="50"/>
      <c r="W22" s="50"/>
    </row>
    <row r="23" spans="1:23" x14ac:dyDescent="0.2">
      <c r="A23" s="73"/>
      <c r="D23" s="127"/>
      <c r="U23" s="76"/>
      <c r="V23" s="50"/>
      <c r="W23" s="50"/>
    </row>
    <row r="24" spans="1:23" s="120" customFormat="1" ht="17.25" customHeight="1" x14ac:dyDescent="0.25">
      <c r="A24" s="136" t="s">
        <v>215</v>
      </c>
      <c r="B24" s="137"/>
      <c r="C24" s="137"/>
      <c r="D24" s="138"/>
      <c r="E24" s="139"/>
      <c r="F24" s="137"/>
      <c r="G24" s="137"/>
      <c r="H24" s="137"/>
      <c r="I24" s="137"/>
      <c r="J24" s="137"/>
      <c r="K24" s="137"/>
      <c r="L24" s="137"/>
      <c r="M24" s="137"/>
      <c r="N24" s="137"/>
      <c r="O24" s="137"/>
      <c r="P24" s="137"/>
      <c r="Q24" s="137"/>
      <c r="R24" s="137"/>
      <c r="S24" s="137"/>
      <c r="T24" s="137"/>
      <c r="U24" s="140"/>
    </row>
    <row r="25" spans="1:23" s="120" customFormat="1" ht="17.25" customHeight="1" x14ac:dyDescent="0.25">
      <c r="A25" s="136" t="s">
        <v>216</v>
      </c>
      <c r="B25" s="137"/>
      <c r="C25" s="137"/>
      <c r="D25" s="138"/>
      <c r="E25" s="139"/>
      <c r="F25" s="137"/>
      <c r="G25" s="137"/>
      <c r="H25" s="137"/>
      <c r="I25" s="137"/>
      <c r="J25" s="137"/>
      <c r="K25" s="137"/>
      <c r="L25" s="137"/>
      <c r="M25" s="137"/>
      <c r="N25" s="137"/>
      <c r="O25" s="137"/>
      <c r="P25" s="137"/>
      <c r="Q25" s="137"/>
      <c r="R25" s="137"/>
      <c r="S25" s="137"/>
      <c r="T25" s="137"/>
      <c r="U25" s="140"/>
    </row>
    <row r="26" spans="1:23" s="120" customFormat="1" ht="17.25" customHeight="1" x14ac:dyDescent="0.25">
      <c r="A26" s="136" t="s">
        <v>217</v>
      </c>
      <c r="B26" s="137"/>
      <c r="C26" s="137"/>
      <c r="D26" s="138"/>
      <c r="E26" s="139"/>
      <c r="F26" s="137"/>
      <c r="G26" s="137"/>
      <c r="H26" s="137"/>
      <c r="I26" s="137"/>
      <c r="J26" s="137"/>
      <c r="K26" s="137"/>
      <c r="L26" s="137"/>
      <c r="M26" s="137"/>
      <c r="N26" s="137"/>
      <c r="O26" s="137"/>
      <c r="P26" s="137"/>
      <c r="Q26" s="137"/>
      <c r="R26" s="137"/>
      <c r="S26" s="137"/>
      <c r="T26" s="137"/>
      <c r="U26" s="140"/>
    </row>
    <row r="27" spans="1:23" ht="15" customHeight="1" x14ac:dyDescent="0.25">
      <c r="A27" s="141"/>
      <c r="D27" s="127"/>
      <c r="E27" s="128"/>
      <c r="U27" s="76"/>
      <c r="V27" s="50"/>
      <c r="W27" s="50"/>
    </row>
    <row r="28" spans="1:23" ht="12.75" customHeight="1" x14ac:dyDescent="0.2">
      <c r="A28" s="73" t="s">
        <v>218</v>
      </c>
      <c r="B28" s="40" t="s">
        <v>184</v>
      </c>
      <c r="C28" s="40" t="s">
        <v>219</v>
      </c>
      <c r="D28" s="127"/>
      <c r="U28" s="76"/>
      <c r="V28" s="50"/>
      <c r="W28" s="50"/>
    </row>
    <row r="29" spans="1:23" ht="12.75" customHeight="1" x14ac:dyDescent="0.2">
      <c r="A29" s="73" t="s">
        <v>220</v>
      </c>
      <c r="B29" s="40" t="s">
        <v>184</v>
      </c>
      <c r="C29" s="40" t="s">
        <v>221</v>
      </c>
      <c r="D29" s="127"/>
      <c r="E29" s="128" t="s">
        <v>186</v>
      </c>
      <c r="U29" s="76"/>
      <c r="V29" s="50"/>
      <c r="W29" s="50"/>
    </row>
    <row r="30" spans="1:23" ht="12.75" customHeight="1" x14ac:dyDescent="0.2">
      <c r="A30" s="73" t="s">
        <v>222</v>
      </c>
      <c r="B30" s="40" t="s">
        <v>184</v>
      </c>
      <c r="C30" s="40" t="s">
        <v>223</v>
      </c>
      <c r="D30" s="127"/>
      <c r="E30" s="128" t="s">
        <v>186</v>
      </c>
      <c r="U30" s="76"/>
      <c r="V30" s="50"/>
      <c r="W30" s="50"/>
    </row>
    <row r="31" spans="1:23" ht="12.75" customHeight="1" x14ac:dyDescent="0.2">
      <c r="A31" s="73" t="s">
        <v>224</v>
      </c>
      <c r="B31" s="40" t="s">
        <v>184</v>
      </c>
      <c r="C31" s="40" t="s">
        <v>225</v>
      </c>
      <c r="D31" s="127"/>
      <c r="E31" s="128" t="s">
        <v>186</v>
      </c>
      <c r="U31" s="76"/>
      <c r="V31" s="50"/>
      <c r="W31" s="50"/>
    </row>
    <row r="32" spans="1:23" ht="12.75" customHeight="1" x14ac:dyDescent="0.2">
      <c r="A32" s="73" t="s">
        <v>226</v>
      </c>
      <c r="B32" s="40" t="s">
        <v>184</v>
      </c>
      <c r="C32" s="40" t="s">
        <v>227</v>
      </c>
      <c r="D32" s="127"/>
      <c r="E32" s="128" t="s">
        <v>186</v>
      </c>
      <c r="U32" s="76"/>
      <c r="V32" s="50"/>
      <c r="W32" s="50"/>
    </row>
    <row r="33" spans="1:23" ht="12.75" customHeight="1" x14ac:dyDescent="0.2">
      <c r="A33" s="73" t="s">
        <v>228</v>
      </c>
      <c r="B33" s="40" t="s">
        <v>184</v>
      </c>
      <c r="C33" s="40" t="s">
        <v>229</v>
      </c>
      <c r="D33" s="127"/>
      <c r="E33" s="128" t="s">
        <v>186</v>
      </c>
      <c r="U33" s="76"/>
      <c r="V33" s="50"/>
      <c r="W33" s="50"/>
    </row>
    <row r="34" spans="1:23" ht="12.75" customHeight="1" x14ac:dyDescent="0.2">
      <c r="A34" s="73"/>
      <c r="U34" s="76"/>
      <c r="V34" s="50"/>
      <c r="W34" s="50"/>
    </row>
    <row r="35" spans="1:23" ht="12.75" customHeight="1" x14ac:dyDescent="0.2">
      <c r="A35" s="73" t="s">
        <v>230</v>
      </c>
      <c r="D35" s="127"/>
      <c r="U35" s="76"/>
      <c r="V35" s="50"/>
      <c r="W35" s="50"/>
    </row>
    <row r="36" spans="1:23" ht="12.75" customHeight="1" x14ac:dyDescent="0.2">
      <c r="A36" s="73" t="s">
        <v>231</v>
      </c>
      <c r="D36" s="127"/>
      <c r="U36" s="76"/>
      <c r="V36" s="50"/>
      <c r="W36" s="50"/>
    </row>
    <row r="37" spans="1:23" ht="12.75" customHeight="1" x14ac:dyDescent="0.2">
      <c r="A37" s="73" t="s">
        <v>232</v>
      </c>
      <c r="D37" s="127"/>
      <c r="U37" s="76"/>
      <c r="V37" s="50"/>
      <c r="W37" s="50"/>
    </row>
    <row r="38" spans="1:23" ht="12.75" customHeight="1" x14ac:dyDescent="0.2">
      <c r="A38" s="73" t="s">
        <v>233</v>
      </c>
      <c r="D38" s="127"/>
      <c r="U38" s="76"/>
      <c r="V38" s="50"/>
      <c r="W38" s="50"/>
    </row>
    <row r="39" spans="1:23" ht="48" customHeight="1" x14ac:dyDescent="0.2">
      <c r="A39" s="73"/>
      <c r="D39" s="127"/>
      <c r="U39" s="76"/>
      <c r="V39" s="50"/>
      <c r="W39" s="50"/>
    </row>
    <row r="40" spans="1:23" ht="18.75" thickBot="1" x14ac:dyDescent="0.25">
      <c r="A40" s="96"/>
      <c r="B40" s="97"/>
      <c r="C40" s="97"/>
      <c r="D40" s="142"/>
      <c r="E40" s="97"/>
      <c r="F40" s="143"/>
      <c r="G40" s="143"/>
      <c r="H40" s="143"/>
      <c r="I40" s="143"/>
      <c r="J40" s="143"/>
      <c r="K40" s="143"/>
      <c r="L40" s="143"/>
      <c r="M40" s="143"/>
      <c r="N40" s="143"/>
      <c r="O40" s="143"/>
      <c r="P40" s="143"/>
      <c r="Q40" s="143"/>
      <c r="R40" s="143"/>
      <c r="S40" s="143"/>
      <c r="T40" s="143"/>
      <c r="U40" s="144"/>
      <c r="V40" s="50"/>
      <c r="W40" s="50"/>
    </row>
    <row r="41" spans="1:23" ht="18" x14ac:dyDescent="0.25">
      <c r="A41" s="44" t="s">
        <v>234</v>
      </c>
      <c r="B41" s="117"/>
      <c r="C41" s="117"/>
      <c r="D41" s="117"/>
      <c r="E41" s="117"/>
      <c r="F41" s="145"/>
      <c r="G41" s="145"/>
      <c r="H41" s="145"/>
      <c r="I41" s="145"/>
      <c r="J41" s="145"/>
      <c r="K41" s="145"/>
      <c r="L41" s="145"/>
      <c r="M41" s="145"/>
      <c r="N41" s="145"/>
      <c r="O41" s="145"/>
      <c r="P41" s="145"/>
      <c r="Q41" s="145"/>
      <c r="R41" s="145"/>
      <c r="S41" s="145"/>
      <c r="T41" s="145"/>
      <c r="U41" s="146"/>
      <c r="V41" s="50"/>
      <c r="W41" s="50"/>
    </row>
    <row r="42" spans="1:23" x14ac:dyDescent="0.2">
      <c r="A42" s="73"/>
      <c r="U42" s="76"/>
      <c r="V42" s="50"/>
      <c r="W42" s="50"/>
    </row>
    <row r="43" spans="1:23" s="157" customFormat="1" ht="18" x14ac:dyDescent="0.25">
      <c r="A43" s="147" t="s">
        <v>235</v>
      </c>
      <c r="B43" s="148"/>
      <c r="C43" s="148"/>
      <c r="D43" s="148"/>
      <c r="E43" s="148"/>
      <c r="F43" s="149" t="s">
        <v>103</v>
      </c>
      <c r="G43" s="150"/>
      <c r="H43" s="149" t="s">
        <v>236</v>
      </c>
      <c r="I43" s="151"/>
      <c r="J43" s="149" t="s">
        <v>237</v>
      </c>
      <c r="K43" s="150"/>
      <c r="L43" s="149" t="s">
        <v>105</v>
      </c>
      <c r="M43" s="152"/>
      <c r="N43" s="153" t="s">
        <v>113</v>
      </c>
      <c r="O43" s="152"/>
      <c r="P43" s="149" t="s">
        <v>238</v>
      </c>
      <c r="Q43" s="152"/>
      <c r="R43" s="154"/>
      <c r="S43" s="155"/>
      <c r="T43" s="155"/>
      <c r="U43" s="156"/>
    </row>
    <row r="44" spans="1:23" x14ac:dyDescent="0.2">
      <c r="A44" s="73"/>
      <c r="D44" s="127"/>
      <c r="E44" s="128"/>
      <c r="F44" s="74"/>
      <c r="G44" s="75"/>
      <c r="H44" s="74"/>
      <c r="J44" s="74"/>
      <c r="K44" s="75"/>
      <c r="L44" s="74"/>
      <c r="M44" s="75"/>
      <c r="N44" s="74"/>
      <c r="O44" s="75"/>
      <c r="P44" s="74"/>
      <c r="Q44" s="75"/>
      <c r="R44" s="74"/>
      <c r="U44" s="76"/>
      <c r="V44" s="50"/>
      <c r="W44" s="50"/>
    </row>
    <row r="45" spans="1:23" ht="13.5" thickBot="1" x14ac:dyDescent="0.25">
      <c r="A45" s="73" t="s">
        <v>119</v>
      </c>
      <c r="B45" s="40" t="s">
        <v>174</v>
      </c>
      <c r="C45" s="40" t="s">
        <v>175</v>
      </c>
      <c r="D45" s="40">
        <v>194.19</v>
      </c>
      <c r="E45" s="128" t="s">
        <v>176</v>
      </c>
      <c r="F45" s="83">
        <v>1</v>
      </c>
      <c r="G45" s="84" t="s">
        <v>126</v>
      </c>
      <c r="H45" s="83">
        <v>1</v>
      </c>
      <c r="I45" s="84" t="s">
        <v>126</v>
      </c>
      <c r="J45" s="83">
        <v>1</v>
      </c>
      <c r="K45" s="84" t="s">
        <v>126</v>
      </c>
      <c r="L45" s="83">
        <v>1</v>
      </c>
      <c r="M45" s="84" t="s">
        <v>126</v>
      </c>
      <c r="N45" s="83"/>
      <c r="O45" s="84"/>
      <c r="P45" s="83"/>
      <c r="Q45" s="84"/>
      <c r="R45" s="74"/>
      <c r="U45" s="76"/>
      <c r="V45" s="50"/>
      <c r="W45" s="50"/>
    </row>
    <row r="46" spans="1:23" ht="13.5" thickTop="1" x14ac:dyDescent="0.2">
      <c r="A46" s="73"/>
      <c r="F46" s="74"/>
      <c r="G46" s="75"/>
      <c r="H46" s="74"/>
      <c r="J46" s="74"/>
      <c r="K46" s="75"/>
      <c r="L46" s="74"/>
      <c r="M46" s="75"/>
      <c r="N46" s="74"/>
      <c r="O46" s="75"/>
      <c r="P46" s="74"/>
      <c r="Q46" s="75"/>
      <c r="R46" s="74"/>
      <c r="U46" s="76"/>
      <c r="V46" s="50"/>
      <c r="W46" s="50"/>
    </row>
    <row r="47" spans="1:23" x14ac:dyDescent="0.2">
      <c r="A47" s="73" t="s">
        <v>239</v>
      </c>
      <c r="F47" s="74"/>
      <c r="G47" s="75"/>
      <c r="H47" s="74"/>
      <c r="J47" s="74"/>
      <c r="K47" s="75"/>
      <c r="L47" s="74"/>
      <c r="M47" s="75"/>
      <c r="N47" s="74"/>
      <c r="O47" s="75"/>
      <c r="P47" s="74"/>
      <c r="Q47" s="75"/>
      <c r="R47" s="74"/>
      <c r="U47" s="76"/>
      <c r="V47" s="50"/>
      <c r="W47" s="50"/>
    </row>
    <row r="48" spans="1:23" x14ac:dyDescent="0.2">
      <c r="A48" s="73"/>
      <c r="F48" s="74"/>
      <c r="G48" s="75"/>
      <c r="H48" s="74"/>
      <c r="J48" s="74"/>
      <c r="K48" s="75"/>
      <c r="L48" s="74"/>
      <c r="M48" s="75"/>
      <c r="N48" s="74"/>
      <c r="O48" s="75"/>
      <c r="P48" s="74"/>
      <c r="Q48" s="75"/>
      <c r="R48" s="74"/>
      <c r="U48" s="76"/>
      <c r="V48" s="50"/>
      <c r="W48" s="50"/>
    </row>
    <row r="49" spans="1:23" x14ac:dyDescent="0.2">
      <c r="A49" s="73" t="s">
        <v>177</v>
      </c>
      <c r="B49" s="40" t="s">
        <v>174</v>
      </c>
      <c r="C49" s="40" t="s">
        <v>178</v>
      </c>
      <c r="D49" s="40">
        <v>194.19</v>
      </c>
      <c r="E49" s="128" t="s">
        <v>176</v>
      </c>
      <c r="F49" s="74">
        <v>1</v>
      </c>
      <c r="G49" s="75" t="s">
        <v>240</v>
      </c>
      <c r="H49" s="74">
        <v>1</v>
      </c>
      <c r="I49" s="75" t="s">
        <v>240</v>
      </c>
      <c r="J49" s="74">
        <v>1</v>
      </c>
      <c r="K49" s="75" t="s">
        <v>240</v>
      </c>
      <c r="L49" s="74">
        <v>1</v>
      </c>
      <c r="M49" s="75" t="s">
        <v>240</v>
      </c>
      <c r="N49" s="74"/>
      <c r="O49" s="75"/>
      <c r="P49" s="74"/>
      <c r="Q49" s="75"/>
      <c r="R49" s="74"/>
      <c r="U49" s="76"/>
      <c r="V49" s="50"/>
      <c r="W49" s="50"/>
    </row>
    <row r="50" spans="1:23" x14ac:dyDescent="0.2">
      <c r="A50" s="73" t="s">
        <v>241</v>
      </c>
      <c r="B50" s="40" t="s">
        <v>184</v>
      </c>
      <c r="C50" s="40" t="s">
        <v>227</v>
      </c>
      <c r="E50" s="40" t="s">
        <v>186</v>
      </c>
      <c r="F50" s="74">
        <v>1</v>
      </c>
      <c r="G50" s="75" t="s">
        <v>126</v>
      </c>
      <c r="H50" s="74">
        <v>1</v>
      </c>
      <c r="I50" s="75" t="s">
        <v>126</v>
      </c>
      <c r="J50" s="74">
        <v>1</v>
      </c>
      <c r="K50" s="75" t="s">
        <v>126</v>
      </c>
      <c r="L50" s="74">
        <v>1</v>
      </c>
      <c r="M50" s="75" t="s">
        <v>126</v>
      </c>
      <c r="N50" s="74"/>
      <c r="O50" s="75"/>
      <c r="P50" s="74"/>
      <c r="Q50" s="75"/>
      <c r="R50" s="74"/>
      <c r="U50" s="76"/>
      <c r="V50" s="50"/>
      <c r="W50" s="50"/>
    </row>
    <row r="51" spans="1:23" ht="13.5" thickBot="1" x14ac:dyDescent="0.25">
      <c r="A51" s="158" t="s">
        <v>119</v>
      </c>
      <c r="B51" s="82"/>
      <c r="C51" s="82"/>
      <c r="D51" s="82"/>
      <c r="E51" s="82"/>
      <c r="F51" s="83">
        <v>1</v>
      </c>
      <c r="G51" s="84" t="s">
        <v>126</v>
      </c>
      <c r="H51" s="83">
        <v>1</v>
      </c>
      <c r="I51" s="84" t="s">
        <v>126</v>
      </c>
      <c r="J51" s="83">
        <v>1</v>
      </c>
      <c r="K51" s="84" t="s">
        <v>126</v>
      </c>
      <c r="L51" s="83">
        <v>1</v>
      </c>
      <c r="M51" s="84" t="s">
        <v>126</v>
      </c>
      <c r="N51" s="83"/>
      <c r="O51" s="84"/>
      <c r="P51" s="83"/>
      <c r="Q51" s="84"/>
      <c r="R51" s="74"/>
      <c r="U51" s="76"/>
      <c r="V51" s="50"/>
      <c r="W51" s="50"/>
    </row>
    <row r="52" spans="1:23" ht="16.5" thickTop="1" x14ac:dyDescent="0.25">
      <c r="A52" s="73" t="s">
        <v>131</v>
      </c>
      <c r="F52" s="74"/>
      <c r="G52" s="75"/>
      <c r="H52" s="74"/>
      <c r="J52" s="74"/>
      <c r="K52" s="75"/>
      <c r="L52" s="74"/>
      <c r="M52" s="75"/>
      <c r="N52" s="74"/>
      <c r="O52" s="75"/>
      <c r="P52" s="74"/>
      <c r="Q52" s="75"/>
      <c r="R52" s="74"/>
      <c r="U52" s="76"/>
      <c r="V52" s="50"/>
      <c r="W52" s="50"/>
    </row>
    <row r="53" spans="1:23" x14ac:dyDescent="0.2">
      <c r="A53" s="73"/>
      <c r="F53" s="74"/>
      <c r="G53" s="75"/>
      <c r="H53" s="74"/>
      <c r="J53" s="74"/>
      <c r="K53" s="75"/>
      <c r="L53" s="74"/>
      <c r="M53" s="75"/>
      <c r="N53" s="74"/>
      <c r="O53" s="75"/>
      <c r="P53" s="74"/>
      <c r="Q53" s="75"/>
      <c r="R53" s="74"/>
      <c r="U53" s="76"/>
      <c r="V53" s="50"/>
      <c r="W53" s="50"/>
    </row>
    <row r="54" spans="1:23" x14ac:dyDescent="0.2">
      <c r="A54" s="73"/>
      <c r="F54" s="74"/>
      <c r="G54" s="75"/>
      <c r="H54" s="74"/>
      <c r="J54" s="74"/>
      <c r="K54" s="75"/>
      <c r="L54" s="74"/>
      <c r="M54" s="75"/>
      <c r="N54" s="74"/>
      <c r="O54" s="75"/>
      <c r="P54" s="74"/>
      <c r="Q54" s="75"/>
      <c r="R54" s="74"/>
      <c r="U54" s="76"/>
      <c r="V54" s="50"/>
      <c r="W54" s="50"/>
    </row>
    <row r="55" spans="1:23" s="157" customFormat="1" ht="18" x14ac:dyDescent="0.25">
      <c r="A55" s="147" t="s">
        <v>242</v>
      </c>
      <c r="B55" s="148"/>
      <c r="C55" s="148"/>
      <c r="D55" s="148"/>
      <c r="E55" s="148"/>
      <c r="F55" s="154"/>
      <c r="G55" s="159"/>
      <c r="H55" s="154"/>
      <c r="I55" s="155"/>
      <c r="J55" s="154"/>
      <c r="K55" s="159"/>
      <c r="L55" s="154"/>
      <c r="M55" s="159"/>
      <c r="N55" s="154"/>
      <c r="O55" s="159"/>
      <c r="P55" s="154"/>
      <c r="Q55" s="159"/>
      <c r="R55" s="154"/>
      <c r="S55" s="155"/>
      <c r="T55" s="155"/>
      <c r="U55" s="156"/>
    </row>
    <row r="56" spans="1:23" x14ac:dyDescent="0.2">
      <c r="A56" s="160"/>
      <c r="B56" s="161"/>
      <c r="C56" s="161"/>
      <c r="D56" s="161"/>
      <c r="E56" s="161"/>
      <c r="F56" s="74"/>
      <c r="G56" s="75"/>
      <c r="H56" s="74"/>
      <c r="J56" s="74"/>
      <c r="K56" s="75"/>
      <c r="L56" s="74"/>
      <c r="M56" s="75"/>
      <c r="N56" s="74"/>
      <c r="O56" s="75"/>
      <c r="P56" s="74"/>
      <c r="R56" s="74"/>
      <c r="U56" s="76"/>
      <c r="V56" s="50"/>
      <c r="W56" s="50"/>
    </row>
    <row r="57" spans="1:23" x14ac:dyDescent="0.2">
      <c r="A57" s="73" t="s">
        <v>243</v>
      </c>
      <c r="F57" s="162">
        <v>0.5</v>
      </c>
      <c r="G57" s="75" t="s">
        <v>240</v>
      </c>
      <c r="H57" s="162">
        <v>1</v>
      </c>
      <c r="I57" s="75" t="s">
        <v>240</v>
      </c>
      <c r="J57" s="162">
        <v>2</v>
      </c>
      <c r="K57" s="75" t="s">
        <v>240</v>
      </c>
      <c r="L57" s="162">
        <v>6</v>
      </c>
      <c r="M57" s="75" t="s">
        <v>240</v>
      </c>
      <c r="N57" s="162"/>
      <c r="O57" s="75"/>
      <c r="P57" s="162"/>
      <c r="R57" s="74"/>
      <c r="S57" s="163"/>
      <c r="U57" s="76"/>
      <c r="V57" s="50"/>
      <c r="W57" s="50"/>
    </row>
    <row r="58" spans="1:23" x14ac:dyDescent="0.2">
      <c r="A58" s="73" t="s">
        <v>244</v>
      </c>
      <c r="F58" s="164">
        <f>330*F57</f>
        <v>165</v>
      </c>
      <c r="G58" s="75" t="s">
        <v>120</v>
      </c>
      <c r="H58" s="164">
        <f>330*H57</f>
        <v>330</v>
      </c>
      <c r="I58" s="75" t="s">
        <v>120</v>
      </c>
      <c r="J58" s="164">
        <f>330*J57</f>
        <v>660</v>
      </c>
      <c r="K58" s="75" t="s">
        <v>120</v>
      </c>
      <c r="L58" s="164">
        <f>330*L57</f>
        <v>1980</v>
      </c>
      <c r="M58" s="75" t="s">
        <v>120</v>
      </c>
      <c r="N58" s="164"/>
      <c r="O58" s="75"/>
      <c r="P58" s="164"/>
      <c r="R58" s="74"/>
      <c r="S58" s="165"/>
      <c r="U58" s="76"/>
      <c r="V58" s="50"/>
      <c r="W58" s="50"/>
    </row>
    <row r="59" spans="1:23" ht="13.5" thickBot="1" x14ac:dyDescent="0.25">
      <c r="A59" s="158" t="s">
        <v>245</v>
      </c>
      <c r="B59" s="82"/>
      <c r="C59" s="82"/>
      <c r="D59" s="82"/>
      <c r="E59" s="82"/>
      <c r="F59" s="166">
        <f>F58</f>
        <v>165</v>
      </c>
      <c r="G59" s="84" t="s">
        <v>120</v>
      </c>
      <c r="H59" s="166">
        <f>H58</f>
        <v>330</v>
      </c>
      <c r="I59" s="84" t="s">
        <v>120</v>
      </c>
      <c r="J59" s="166">
        <f>J58</f>
        <v>660</v>
      </c>
      <c r="K59" s="84" t="s">
        <v>120</v>
      </c>
      <c r="L59" s="166">
        <f>L58</f>
        <v>1980</v>
      </c>
      <c r="M59" s="84" t="s">
        <v>120</v>
      </c>
      <c r="N59" s="166"/>
      <c r="O59" s="84"/>
      <c r="P59" s="166"/>
      <c r="Q59" s="82"/>
      <c r="R59" s="74"/>
      <c r="S59" s="165"/>
      <c r="U59" s="76"/>
      <c r="V59" s="50"/>
      <c r="W59" s="50"/>
    </row>
    <row r="60" spans="1:23" ht="16.5" thickTop="1" x14ac:dyDescent="0.25">
      <c r="A60" s="86" t="s">
        <v>131</v>
      </c>
      <c r="F60" s="74"/>
      <c r="G60" s="167"/>
      <c r="H60" s="74"/>
      <c r="I60" s="167"/>
      <c r="J60" s="74"/>
      <c r="K60" s="167"/>
      <c r="L60" s="74"/>
      <c r="M60" s="167"/>
      <c r="N60" s="168"/>
      <c r="O60" s="167"/>
      <c r="P60" s="168"/>
      <c r="Q60" s="165"/>
      <c r="R60" s="74"/>
      <c r="U60" s="76"/>
      <c r="V60" s="50"/>
      <c r="W60" s="50"/>
    </row>
    <row r="61" spans="1:23" x14ac:dyDescent="0.2">
      <c r="A61" s="73"/>
      <c r="F61" s="74"/>
      <c r="G61" s="167"/>
      <c r="H61" s="74"/>
      <c r="I61" s="167"/>
      <c r="J61" s="74"/>
      <c r="K61" s="167"/>
      <c r="L61" s="74"/>
      <c r="M61" s="167"/>
      <c r="N61" s="168"/>
      <c r="O61" s="167"/>
      <c r="P61" s="168"/>
      <c r="Q61" s="165"/>
      <c r="R61" s="74"/>
      <c r="U61" s="76"/>
      <c r="V61" s="50"/>
      <c r="W61" s="50"/>
    </row>
    <row r="62" spans="1:23" x14ac:dyDescent="0.2">
      <c r="A62" s="160"/>
      <c r="B62" s="161"/>
      <c r="C62" s="161"/>
      <c r="D62" s="161"/>
      <c r="E62" s="161"/>
      <c r="F62" s="74"/>
      <c r="G62" s="75"/>
      <c r="H62" s="74"/>
      <c r="I62" s="75"/>
      <c r="J62" s="74"/>
      <c r="K62" s="75"/>
      <c r="L62" s="74"/>
      <c r="M62" s="75"/>
      <c r="N62" s="74"/>
      <c r="O62" s="75"/>
      <c r="P62" s="74"/>
      <c r="R62" s="74"/>
      <c r="U62" s="76"/>
      <c r="V62" s="50"/>
      <c r="W62" s="50"/>
    </row>
    <row r="63" spans="1:23" x14ac:dyDescent="0.2">
      <c r="A63" s="169" t="s">
        <v>245</v>
      </c>
      <c r="B63" s="170"/>
      <c r="C63" s="170"/>
      <c r="D63" s="170"/>
      <c r="E63" s="170"/>
      <c r="F63" s="74">
        <v>50</v>
      </c>
      <c r="G63" s="75" t="s">
        <v>120</v>
      </c>
      <c r="H63" s="74">
        <v>50</v>
      </c>
      <c r="I63" s="75" t="s">
        <v>120</v>
      </c>
      <c r="J63" s="74">
        <v>50</v>
      </c>
      <c r="K63" s="75" t="s">
        <v>120</v>
      </c>
      <c r="L63" s="74">
        <v>50</v>
      </c>
      <c r="M63" s="75" t="s">
        <v>120</v>
      </c>
      <c r="N63" s="74"/>
      <c r="O63" s="75"/>
      <c r="P63" s="74"/>
      <c r="R63" s="74"/>
      <c r="U63" s="76"/>
      <c r="V63" s="50"/>
      <c r="W63" s="50"/>
    </row>
    <row r="64" spans="1:23" x14ac:dyDescent="0.2">
      <c r="A64" s="73" t="s">
        <v>231</v>
      </c>
      <c r="F64" s="74">
        <v>1450</v>
      </c>
      <c r="G64" s="75" t="s">
        <v>120</v>
      </c>
      <c r="H64" s="74">
        <v>1450</v>
      </c>
      <c r="I64" s="75" t="s">
        <v>120</v>
      </c>
      <c r="J64" s="74">
        <v>1450</v>
      </c>
      <c r="K64" s="75" t="s">
        <v>120</v>
      </c>
      <c r="L64" s="74">
        <v>1450</v>
      </c>
      <c r="M64" s="75" t="s">
        <v>120</v>
      </c>
      <c r="N64" s="74"/>
      <c r="O64" s="75"/>
      <c r="P64" s="74"/>
      <c r="R64" s="74"/>
      <c r="U64" s="76"/>
      <c r="V64" s="50"/>
      <c r="W64" s="50"/>
    </row>
    <row r="65" spans="1:23" ht="13.5" thickBot="1" x14ac:dyDescent="0.25">
      <c r="A65" s="158" t="s">
        <v>121</v>
      </c>
      <c r="B65" s="82"/>
      <c r="C65" s="82"/>
      <c r="D65" s="82"/>
      <c r="E65" s="82"/>
      <c r="F65" s="83">
        <v>1.5</v>
      </c>
      <c r="G65" s="84" t="s">
        <v>126</v>
      </c>
      <c r="H65" s="83">
        <v>1.5</v>
      </c>
      <c r="I65" s="84" t="s">
        <v>126</v>
      </c>
      <c r="J65" s="83">
        <v>1.5</v>
      </c>
      <c r="K65" s="84" t="s">
        <v>126</v>
      </c>
      <c r="L65" s="83">
        <v>1.5</v>
      </c>
      <c r="M65" s="84" t="s">
        <v>126</v>
      </c>
      <c r="N65" s="83"/>
      <c r="O65" s="84"/>
      <c r="P65" s="83"/>
      <c r="Q65" s="82"/>
      <c r="R65" s="74"/>
      <c r="U65" s="76"/>
      <c r="V65" s="50"/>
      <c r="W65" s="50"/>
    </row>
    <row r="66" spans="1:23" ht="16.5" thickTop="1" x14ac:dyDescent="0.25">
      <c r="A66" s="73" t="s">
        <v>131</v>
      </c>
      <c r="F66" s="74"/>
      <c r="H66" s="74"/>
      <c r="J66" s="74"/>
      <c r="L66" s="74"/>
      <c r="M66" s="75"/>
      <c r="N66" s="74"/>
      <c r="O66" s="75"/>
      <c r="P66" s="74"/>
      <c r="R66" s="74"/>
      <c r="U66" s="76"/>
      <c r="V66" s="50"/>
      <c r="W66" s="50"/>
    </row>
    <row r="67" spans="1:23" x14ac:dyDescent="0.2">
      <c r="A67" s="73"/>
      <c r="F67" s="74"/>
      <c r="H67" s="74"/>
      <c r="J67" s="74"/>
      <c r="L67" s="74"/>
      <c r="M67" s="75"/>
      <c r="N67" s="74"/>
      <c r="O67" s="75"/>
      <c r="P67" s="74"/>
      <c r="R67" s="74"/>
      <c r="U67" s="76"/>
      <c r="V67" s="50"/>
      <c r="W67" s="50"/>
    </row>
    <row r="68" spans="1:23" x14ac:dyDescent="0.2">
      <c r="A68" s="73"/>
      <c r="F68" s="74"/>
      <c r="G68" s="75"/>
      <c r="H68" s="74"/>
      <c r="J68" s="74"/>
      <c r="K68" s="75"/>
      <c r="L68" s="74"/>
      <c r="M68" s="75"/>
      <c r="N68" s="74"/>
      <c r="O68" s="75"/>
      <c r="P68" s="74"/>
      <c r="R68" s="74"/>
      <c r="U68" s="76"/>
      <c r="V68" s="50"/>
      <c r="W68" s="50"/>
    </row>
    <row r="69" spans="1:23" s="157" customFormat="1" ht="18" x14ac:dyDescent="0.25">
      <c r="A69" s="147" t="s">
        <v>246</v>
      </c>
      <c r="B69" s="148"/>
      <c r="C69" s="148"/>
      <c r="D69" s="148"/>
      <c r="E69" s="148"/>
      <c r="F69" s="154"/>
      <c r="G69" s="159"/>
      <c r="H69" s="154"/>
      <c r="I69" s="155"/>
      <c r="J69" s="154"/>
      <c r="K69" s="159"/>
      <c r="L69" s="154"/>
      <c r="M69" s="159"/>
      <c r="N69" s="154"/>
      <c r="O69" s="159"/>
      <c r="P69" s="154"/>
      <c r="Q69" s="159"/>
      <c r="R69" s="154"/>
      <c r="S69" s="155"/>
      <c r="T69" s="155"/>
      <c r="U69" s="156"/>
    </row>
    <row r="70" spans="1:23" x14ac:dyDescent="0.2">
      <c r="A70" s="73"/>
      <c r="F70" s="74"/>
      <c r="G70" s="75"/>
      <c r="H70" s="74"/>
      <c r="J70" s="74"/>
      <c r="K70" s="75"/>
      <c r="L70" s="74"/>
      <c r="M70" s="75"/>
      <c r="N70" s="74"/>
      <c r="O70" s="75"/>
      <c r="P70" s="74"/>
      <c r="Q70" s="75"/>
      <c r="R70" s="74"/>
      <c r="U70" s="76"/>
      <c r="V70" s="50"/>
      <c r="W70" s="50"/>
    </row>
    <row r="71" spans="1:23" x14ac:dyDescent="0.2">
      <c r="A71" s="73" t="s">
        <v>247</v>
      </c>
      <c r="D71" s="127"/>
      <c r="E71" s="128"/>
      <c r="F71" s="74">
        <v>10</v>
      </c>
      <c r="G71" s="75" t="s">
        <v>120</v>
      </c>
      <c r="H71" s="74">
        <v>10</v>
      </c>
      <c r="I71" s="75" t="s">
        <v>120</v>
      </c>
      <c r="J71" s="74">
        <v>10</v>
      </c>
      <c r="K71" s="75" t="s">
        <v>120</v>
      </c>
      <c r="L71" s="74">
        <v>10</v>
      </c>
      <c r="M71" s="75" t="s">
        <v>120</v>
      </c>
      <c r="N71" s="74"/>
      <c r="O71" s="75"/>
      <c r="P71" s="74"/>
      <c r="Q71" s="75"/>
      <c r="R71" s="74"/>
      <c r="U71" s="76"/>
      <c r="V71" s="50"/>
      <c r="W71" s="50"/>
    </row>
    <row r="72" spans="1:23" x14ac:dyDescent="0.2">
      <c r="A72" s="73" t="s">
        <v>248</v>
      </c>
      <c r="F72" s="74">
        <v>10</v>
      </c>
      <c r="G72" s="75" t="s">
        <v>126</v>
      </c>
      <c r="H72" s="74">
        <v>10</v>
      </c>
      <c r="I72" s="75" t="s">
        <v>126</v>
      </c>
      <c r="J72" s="74">
        <v>10</v>
      </c>
      <c r="K72" s="75" t="s">
        <v>126</v>
      </c>
      <c r="L72" s="74">
        <v>10</v>
      </c>
      <c r="M72" s="75" t="s">
        <v>126</v>
      </c>
      <c r="N72" s="74"/>
      <c r="O72" s="75"/>
      <c r="P72" s="74"/>
      <c r="Q72" s="75"/>
      <c r="R72" s="74"/>
      <c r="U72" s="76"/>
      <c r="V72" s="50"/>
      <c r="W72" s="50"/>
    </row>
    <row r="73" spans="1:23" ht="13.5" thickBot="1" x14ac:dyDescent="0.25">
      <c r="A73" s="158" t="s">
        <v>249</v>
      </c>
      <c r="B73" s="82"/>
      <c r="C73" s="82"/>
      <c r="D73" s="82"/>
      <c r="E73" s="82"/>
      <c r="F73" s="83">
        <v>10</v>
      </c>
      <c r="G73" s="84" t="s">
        <v>126</v>
      </c>
      <c r="H73" s="83">
        <v>10</v>
      </c>
      <c r="I73" s="84" t="s">
        <v>126</v>
      </c>
      <c r="J73" s="83">
        <v>10</v>
      </c>
      <c r="K73" s="84" t="s">
        <v>126</v>
      </c>
      <c r="L73" s="83">
        <v>10</v>
      </c>
      <c r="M73" s="84" t="s">
        <v>126</v>
      </c>
      <c r="N73" s="83"/>
      <c r="O73" s="84"/>
      <c r="P73" s="83"/>
      <c r="Q73" s="84"/>
      <c r="R73" s="74"/>
      <c r="U73" s="76"/>
      <c r="V73" s="50"/>
      <c r="W73" s="50"/>
    </row>
    <row r="74" spans="1:23" ht="16.5" thickTop="1" x14ac:dyDescent="0.25">
      <c r="A74" s="73" t="s">
        <v>131</v>
      </c>
      <c r="F74" s="85"/>
      <c r="G74" s="75"/>
      <c r="H74" s="74"/>
      <c r="J74" s="74"/>
      <c r="K74" s="75"/>
      <c r="L74" s="85"/>
      <c r="M74" s="75"/>
      <c r="N74" s="74"/>
      <c r="O74" s="75"/>
      <c r="P74" s="74"/>
      <c r="Q74" s="75"/>
      <c r="R74" s="74"/>
      <c r="U74" s="76"/>
      <c r="V74" s="50"/>
      <c r="W74" s="50"/>
    </row>
    <row r="75" spans="1:23" x14ac:dyDescent="0.2">
      <c r="A75" s="73"/>
      <c r="F75" s="74"/>
      <c r="G75" s="75"/>
      <c r="H75" s="74"/>
      <c r="J75" s="74"/>
      <c r="K75" s="75"/>
      <c r="L75" s="74"/>
      <c r="M75" s="75"/>
      <c r="N75" s="74"/>
      <c r="O75" s="75"/>
      <c r="P75" s="74"/>
      <c r="Q75" s="75"/>
      <c r="R75" s="74"/>
      <c r="U75" s="76"/>
      <c r="V75" s="50"/>
      <c r="W75" s="50"/>
    </row>
    <row r="76" spans="1:23" x14ac:dyDescent="0.2">
      <c r="A76" s="73"/>
      <c r="F76" s="74"/>
      <c r="G76" s="75"/>
      <c r="H76" s="74"/>
      <c r="J76" s="74"/>
      <c r="K76" s="75"/>
      <c r="L76" s="74"/>
      <c r="M76" s="75"/>
      <c r="N76" s="74"/>
      <c r="O76" s="75"/>
      <c r="P76" s="74"/>
      <c r="Q76" s="75"/>
      <c r="R76" s="74"/>
      <c r="U76" s="76"/>
      <c r="V76" s="50"/>
      <c r="W76" s="50"/>
    </row>
    <row r="77" spans="1:23" s="157" customFormat="1" ht="18" x14ac:dyDescent="0.25">
      <c r="A77" s="147" t="s">
        <v>250</v>
      </c>
      <c r="B77" s="148"/>
      <c r="C77" s="148"/>
      <c r="D77" s="148"/>
      <c r="E77" s="148"/>
      <c r="F77" s="154"/>
      <c r="G77" s="159"/>
      <c r="H77" s="154"/>
      <c r="I77" s="155"/>
      <c r="J77" s="154"/>
      <c r="K77" s="159"/>
      <c r="L77" s="154"/>
      <c r="M77" s="159"/>
      <c r="N77" s="154"/>
      <c r="O77" s="159"/>
      <c r="P77" s="154"/>
      <c r="Q77" s="159"/>
      <c r="R77" s="154"/>
      <c r="S77" s="155"/>
      <c r="T77" s="155"/>
      <c r="U77" s="156"/>
    </row>
    <row r="78" spans="1:23" x14ac:dyDescent="0.2">
      <c r="A78" s="73"/>
      <c r="F78" s="74"/>
      <c r="G78" s="75"/>
      <c r="H78" s="74"/>
      <c r="J78" s="74"/>
      <c r="K78" s="75"/>
      <c r="L78" s="74"/>
      <c r="M78" s="75"/>
      <c r="N78" s="74"/>
      <c r="O78" s="75"/>
      <c r="P78" s="74"/>
      <c r="Q78" s="75"/>
      <c r="R78" s="74"/>
      <c r="U78" s="76"/>
      <c r="V78" s="50"/>
      <c r="W78" s="50"/>
    </row>
    <row r="79" spans="1:23" x14ac:dyDescent="0.2">
      <c r="A79" s="73" t="s">
        <v>192</v>
      </c>
      <c r="B79" s="40" t="s">
        <v>174</v>
      </c>
      <c r="C79" s="40" t="s">
        <v>251</v>
      </c>
      <c r="F79" s="74"/>
      <c r="G79" s="75"/>
      <c r="H79" s="171">
        <v>5</v>
      </c>
      <c r="I79" s="75" t="s">
        <v>120</v>
      </c>
      <c r="J79" s="162"/>
      <c r="K79" s="75"/>
      <c r="L79" s="162"/>
      <c r="M79" s="75"/>
      <c r="N79" s="162"/>
      <c r="O79" s="75"/>
      <c r="P79" s="162"/>
      <c r="Q79" s="75"/>
      <c r="R79" s="74"/>
      <c r="U79" s="76"/>
      <c r="V79" s="50"/>
      <c r="W79" s="50"/>
    </row>
    <row r="80" spans="1:23" x14ac:dyDescent="0.2">
      <c r="A80" s="73" t="s">
        <v>244</v>
      </c>
      <c r="F80" s="74"/>
      <c r="G80" s="75"/>
      <c r="H80" s="172">
        <v>9.9949999999999992</v>
      </c>
      <c r="I80" s="75" t="s">
        <v>126</v>
      </c>
      <c r="J80" s="164"/>
      <c r="K80" s="75"/>
      <c r="L80" s="164"/>
      <c r="M80" s="75"/>
      <c r="N80" s="164"/>
      <c r="O80" s="75"/>
      <c r="P80" s="164"/>
      <c r="Q80" s="75"/>
      <c r="R80" s="74"/>
      <c r="U80" s="76"/>
      <c r="V80" s="50"/>
      <c r="W80" s="50"/>
    </row>
    <row r="81" spans="1:23" ht="13.5" thickBot="1" x14ac:dyDescent="0.25">
      <c r="A81" s="158" t="s">
        <v>123</v>
      </c>
      <c r="B81" s="82"/>
      <c r="C81" s="82"/>
      <c r="D81" s="82"/>
      <c r="E81" s="82"/>
      <c r="F81" s="166"/>
      <c r="G81" s="84"/>
      <c r="H81" s="166">
        <f>H80</f>
        <v>9.9949999999999992</v>
      </c>
      <c r="I81" s="84" t="s">
        <v>126</v>
      </c>
      <c r="J81" s="166"/>
      <c r="K81" s="84"/>
      <c r="L81" s="166"/>
      <c r="M81" s="84"/>
      <c r="N81" s="166"/>
      <c r="O81" s="84"/>
      <c r="P81" s="166"/>
      <c r="Q81" s="84"/>
      <c r="R81" s="74"/>
      <c r="U81" s="76"/>
      <c r="V81" s="50"/>
      <c r="W81" s="50"/>
    </row>
    <row r="82" spans="1:23" ht="13.5" thickTop="1" x14ac:dyDescent="0.2">
      <c r="A82" s="73"/>
      <c r="F82" s="74"/>
      <c r="G82" s="75"/>
      <c r="H82" s="74"/>
      <c r="J82" s="74"/>
      <c r="K82" s="75"/>
      <c r="L82" s="74"/>
      <c r="M82" s="75"/>
      <c r="N82" s="74"/>
      <c r="O82" s="75"/>
      <c r="P82" s="74"/>
      <c r="Q82" s="75"/>
      <c r="R82" s="74"/>
      <c r="U82" s="76"/>
      <c r="V82" s="50"/>
      <c r="W82" s="50"/>
    </row>
    <row r="83" spans="1:23" x14ac:dyDescent="0.2">
      <c r="A83" s="73"/>
      <c r="F83" s="74"/>
      <c r="G83" s="75"/>
      <c r="H83" s="74"/>
      <c r="J83" s="74"/>
      <c r="K83" s="75"/>
      <c r="L83" s="74"/>
      <c r="M83" s="75"/>
      <c r="N83" s="74"/>
      <c r="O83" s="75"/>
      <c r="P83" s="74"/>
      <c r="Q83" s="75"/>
      <c r="R83" s="74"/>
      <c r="U83" s="76"/>
      <c r="V83" s="50"/>
      <c r="W83" s="50"/>
    </row>
    <row r="84" spans="1:23" s="157" customFormat="1" ht="18" x14ac:dyDescent="0.25">
      <c r="A84" s="147" t="s">
        <v>252</v>
      </c>
      <c r="B84" s="148"/>
      <c r="C84" s="148"/>
      <c r="D84" s="148"/>
      <c r="E84" s="148"/>
      <c r="F84" s="154"/>
      <c r="G84" s="159"/>
      <c r="H84" s="154"/>
      <c r="I84" s="155"/>
      <c r="J84" s="154"/>
      <c r="K84" s="159"/>
      <c r="L84" s="154"/>
      <c r="M84" s="159"/>
      <c r="N84" s="154"/>
      <c r="O84" s="159"/>
      <c r="P84" s="154"/>
      <c r="Q84" s="159"/>
      <c r="R84" s="154"/>
      <c r="S84" s="155"/>
      <c r="T84" s="155"/>
      <c r="U84" s="156"/>
    </row>
    <row r="85" spans="1:23" x14ac:dyDescent="0.2">
      <c r="A85" s="73"/>
      <c r="F85" s="162"/>
      <c r="G85" s="75"/>
      <c r="H85" s="162"/>
      <c r="J85" s="162"/>
      <c r="K85" s="75"/>
      <c r="L85" s="162"/>
      <c r="M85" s="75"/>
      <c r="N85" s="162"/>
      <c r="O85" s="75"/>
      <c r="P85" s="162"/>
      <c r="Q85" s="75"/>
      <c r="R85" s="74"/>
      <c r="U85" s="76"/>
      <c r="V85" s="50"/>
      <c r="W85" s="50"/>
    </row>
    <row r="86" spans="1:23" x14ac:dyDescent="0.2">
      <c r="A86" s="73" t="s">
        <v>253</v>
      </c>
      <c r="F86" s="162"/>
      <c r="G86" s="75"/>
      <c r="H86" s="162"/>
      <c r="J86" s="162">
        <v>2.88</v>
      </c>
      <c r="K86" s="75" t="s">
        <v>240</v>
      </c>
      <c r="L86" s="162">
        <v>2.88</v>
      </c>
      <c r="M86" s="75" t="s">
        <v>240</v>
      </c>
      <c r="N86" s="162"/>
      <c r="O86" s="75"/>
      <c r="P86" s="162"/>
      <c r="Q86" s="75"/>
      <c r="R86" s="74"/>
      <c r="U86" s="76"/>
      <c r="V86" s="50"/>
      <c r="W86" s="50"/>
    </row>
    <row r="87" spans="1:23" x14ac:dyDescent="0.2">
      <c r="A87" s="73" t="s">
        <v>231</v>
      </c>
      <c r="F87" s="164"/>
      <c r="G87" s="75"/>
      <c r="H87" s="164"/>
      <c r="J87" s="164">
        <f>(10/2.88)*J86</f>
        <v>10</v>
      </c>
      <c r="K87" s="75" t="s">
        <v>126</v>
      </c>
      <c r="L87" s="164">
        <f>(10/2.88)*L86</f>
        <v>10</v>
      </c>
      <c r="M87" s="75" t="s">
        <v>126</v>
      </c>
      <c r="N87" s="164"/>
      <c r="O87" s="75"/>
      <c r="P87" s="164"/>
      <c r="Q87" s="75"/>
      <c r="R87" s="74"/>
      <c r="U87" s="76"/>
      <c r="V87" s="50"/>
      <c r="W87" s="50"/>
    </row>
    <row r="88" spans="1:23" ht="13.5" thickBot="1" x14ac:dyDescent="0.25">
      <c r="A88" s="158" t="s">
        <v>254</v>
      </c>
      <c r="B88" s="82"/>
      <c r="C88" s="82"/>
      <c r="D88" s="82"/>
      <c r="E88" s="82"/>
      <c r="F88" s="166"/>
      <c r="G88" s="84"/>
      <c r="H88" s="166"/>
      <c r="I88" s="82"/>
      <c r="J88" s="166">
        <f>J87</f>
        <v>10</v>
      </c>
      <c r="K88" s="84" t="s">
        <v>126</v>
      </c>
      <c r="L88" s="166">
        <f>L87</f>
        <v>10</v>
      </c>
      <c r="M88" s="84" t="s">
        <v>126</v>
      </c>
      <c r="N88" s="166"/>
      <c r="O88" s="84"/>
      <c r="P88" s="166"/>
      <c r="Q88" s="84"/>
      <c r="R88" s="74"/>
      <c r="U88" s="76"/>
      <c r="V88" s="50"/>
      <c r="W88" s="50"/>
    </row>
    <row r="89" spans="1:23" ht="16.5" thickTop="1" x14ac:dyDescent="0.25">
      <c r="A89" s="73" t="s">
        <v>131</v>
      </c>
      <c r="F89" s="74"/>
      <c r="G89" s="75"/>
      <c r="H89" s="74"/>
      <c r="J89" s="74"/>
      <c r="K89" s="75"/>
      <c r="L89" s="74"/>
      <c r="M89" s="75"/>
      <c r="N89" s="74"/>
      <c r="O89" s="75"/>
      <c r="P89" s="74"/>
      <c r="Q89" s="75"/>
      <c r="R89" s="74"/>
      <c r="U89" s="76"/>
      <c r="V89" s="50"/>
      <c r="W89" s="50"/>
    </row>
    <row r="90" spans="1:23" x14ac:dyDescent="0.2">
      <c r="A90" s="73"/>
      <c r="F90" s="74"/>
      <c r="G90" s="75"/>
      <c r="H90" s="74"/>
      <c r="J90" s="74"/>
      <c r="K90" s="75"/>
      <c r="L90" s="74"/>
      <c r="M90" s="75"/>
      <c r="N90" s="74"/>
      <c r="O90" s="75"/>
      <c r="P90" s="74"/>
      <c r="Q90" s="75"/>
      <c r="R90" s="74"/>
      <c r="U90" s="76"/>
      <c r="V90" s="50"/>
      <c r="W90" s="50"/>
    </row>
    <row r="91" spans="1:23" x14ac:dyDescent="0.2">
      <c r="A91" s="73"/>
      <c r="F91" s="74"/>
      <c r="G91" s="75"/>
      <c r="H91" s="74"/>
      <c r="J91" s="74"/>
      <c r="K91" s="75"/>
      <c r="L91" s="74"/>
      <c r="M91" s="75"/>
      <c r="N91" s="74"/>
      <c r="O91" s="75"/>
      <c r="P91" s="74"/>
      <c r="Q91" s="75"/>
      <c r="R91" s="74"/>
      <c r="U91" s="76"/>
      <c r="V91" s="50"/>
      <c r="W91" s="50"/>
    </row>
    <row r="92" spans="1:23" s="157" customFormat="1" ht="18" x14ac:dyDescent="0.25">
      <c r="A92" s="147" t="s">
        <v>255</v>
      </c>
      <c r="B92" s="148"/>
      <c r="C92" s="148"/>
      <c r="D92" s="148"/>
      <c r="E92" s="148"/>
      <c r="F92" s="154"/>
      <c r="G92" s="159"/>
      <c r="H92" s="154"/>
      <c r="I92" s="155"/>
      <c r="J92" s="154"/>
      <c r="K92" s="159"/>
      <c r="L92" s="154"/>
      <c r="M92" s="159"/>
      <c r="N92" s="154"/>
      <c r="O92" s="159"/>
      <c r="P92" s="154"/>
      <c r="Q92" s="159"/>
      <c r="R92" s="154"/>
      <c r="S92" s="155"/>
      <c r="T92" s="155"/>
      <c r="U92" s="156"/>
    </row>
    <row r="93" spans="1:23" x14ac:dyDescent="0.2">
      <c r="A93" s="73"/>
      <c r="F93" s="162"/>
      <c r="G93" s="75"/>
      <c r="H93" s="162"/>
      <c r="J93" s="162"/>
      <c r="K93" s="75"/>
      <c r="L93" s="162"/>
      <c r="M93" s="75"/>
      <c r="N93" s="162"/>
      <c r="O93" s="75"/>
      <c r="P93" s="162"/>
      <c r="Q93" s="75"/>
      <c r="R93" s="74"/>
      <c r="U93" s="76"/>
      <c r="V93" s="50"/>
      <c r="W93" s="50"/>
    </row>
    <row r="94" spans="1:23" x14ac:dyDescent="0.2">
      <c r="A94" s="73" t="s">
        <v>256</v>
      </c>
      <c r="F94" s="162"/>
      <c r="G94" s="75"/>
      <c r="H94" s="162"/>
      <c r="J94" s="162">
        <v>5.38</v>
      </c>
      <c r="K94" s="75" t="s">
        <v>240</v>
      </c>
      <c r="L94" s="162">
        <v>5.38</v>
      </c>
      <c r="M94" s="75" t="s">
        <v>240</v>
      </c>
      <c r="N94" s="162"/>
      <c r="O94" s="75"/>
      <c r="P94" s="162"/>
      <c r="Q94" s="75"/>
      <c r="R94" s="74"/>
      <c r="U94" s="76"/>
      <c r="V94" s="50"/>
      <c r="W94" s="50"/>
    </row>
    <row r="95" spans="1:23" x14ac:dyDescent="0.2">
      <c r="A95" s="73" t="s">
        <v>231</v>
      </c>
      <c r="F95" s="164"/>
      <c r="G95" s="75"/>
      <c r="H95" s="164"/>
      <c r="J95" s="164">
        <f>(10/5.38)*J94</f>
        <v>10</v>
      </c>
      <c r="K95" s="75" t="s">
        <v>126</v>
      </c>
      <c r="L95" s="164">
        <f>(10/5.38)*L94</f>
        <v>10</v>
      </c>
      <c r="M95" s="75" t="s">
        <v>126</v>
      </c>
      <c r="N95" s="164"/>
      <c r="O95" s="75"/>
      <c r="P95" s="164"/>
      <c r="Q95" s="75"/>
      <c r="R95" s="74"/>
      <c r="U95" s="76"/>
      <c r="V95" s="50"/>
      <c r="W95" s="50"/>
    </row>
    <row r="96" spans="1:23" ht="13.5" thickBot="1" x14ac:dyDescent="0.25">
      <c r="A96" s="158" t="s">
        <v>257</v>
      </c>
      <c r="B96" s="82"/>
      <c r="C96" s="82"/>
      <c r="D96" s="82"/>
      <c r="E96" s="82"/>
      <c r="F96" s="166"/>
      <c r="G96" s="84"/>
      <c r="H96" s="166"/>
      <c r="I96" s="82"/>
      <c r="J96" s="166">
        <f>J95</f>
        <v>10</v>
      </c>
      <c r="K96" s="84" t="s">
        <v>126</v>
      </c>
      <c r="L96" s="166">
        <f>L95</f>
        <v>10</v>
      </c>
      <c r="M96" s="84" t="s">
        <v>126</v>
      </c>
      <c r="N96" s="166"/>
      <c r="O96" s="84"/>
      <c r="P96" s="166"/>
      <c r="Q96" s="84"/>
      <c r="R96" s="74"/>
      <c r="U96" s="76"/>
      <c r="V96" s="50"/>
      <c r="W96" s="50"/>
    </row>
    <row r="97" spans="1:23" ht="16.5" thickTop="1" x14ac:dyDescent="0.25">
      <c r="A97" s="73" t="s">
        <v>131</v>
      </c>
      <c r="F97" s="74"/>
      <c r="G97" s="75"/>
      <c r="H97" s="74"/>
      <c r="J97" s="74"/>
      <c r="K97" s="75"/>
      <c r="L97" s="74"/>
      <c r="M97" s="75"/>
      <c r="N97" s="74"/>
      <c r="O97" s="75"/>
      <c r="P97" s="74"/>
      <c r="Q97" s="75"/>
      <c r="R97" s="74"/>
      <c r="U97" s="76"/>
      <c r="V97" s="50"/>
      <c r="W97" s="50"/>
    </row>
    <row r="98" spans="1:23" x14ac:dyDescent="0.2">
      <c r="A98" s="73"/>
      <c r="F98" s="74"/>
      <c r="G98" s="75"/>
      <c r="H98" s="74"/>
      <c r="J98" s="74"/>
      <c r="K98" s="75"/>
      <c r="L98" s="74"/>
      <c r="M98" s="75"/>
      <c r="N98" s="74"/>
      <c r="O98" s="75"/>
      <c r="P98" s="74"/>
      <c r="Q98" s="75"/>
      <c r="R98" s="74"/>
      <c r="U98" s="76"/>
      <c r="V98" s="50"/>
      <c r="W98" s="50"/>
    </row>
    <row r="99" spans="1:23" x14ac:dyDescent="0.2">
      <c r="A99" s="73"/>
      <c r="F99" s="74"/>
      <c r="G99" s="75"/>
      <c r="H99" s="74"/>
      <c r="J99" s="74"/>
      <c r="K99" s="75"/>
      <c r="L99" s="74"/>
      <c r="M99" s="75"/>
      <c r="N99" s="74"/>
      <c r="O99" s="75"/>
      <c r="P99" s="74"/>
      <c r="Q99" s="75"/>
      <c r="R99" s="74"/>
      <c r="U99" s="76"/>
      <c r="V99" s="50"/>
      <c r="W99" s="50"/>
    </row>
    <row r="100" spans="1:23" s="157" customFormat="1" ht="18" x14ac:dyDescent="0.25">
      <c r="A100" s="147" t="s">
        <v>258</v>
      </c>
      <c r="B100" s="148"/>
      <c r="C100" s="148"/>
      <c r="D100" s="148"/>
      <c r="E100" s="148"/>
      <c r="F100" s="154"/>
      <c r="G100" s="159"/>
      <c r="H100" s="154"/>
      <c r="I100" s="155"/>
      <c r="J100" s="154"/>
      <c r="K100" s="159"/>
      <c r="L100" s="154"/>
      <c r="M100" s="159"/>
      <c r="N100" s="154"/>
      <c r="O100" s="159"/>
      <c r="P100" s="154"/>
      <c r="Q100" s="159"/>
      <c r="R100" s="154"/>
      <c r="S100" s="155"/>
      <c r="T100" s="155"/>
      <c r="U100" s="156"/>
    </row>
    <row r="101" spans="1:23" x14ac:dyDescent="0.2">
      <c r="A101" s="88"/>
      <c r="B101" s="92"/>
      <c r="C101" s="92"/>
      <c r="D101" s="92"/>
      <c r="E101" s="92"/>
      <c r="F101" s="74"/>
      <c r="G101" s="75"/>
      <c r="H101" s="74"/>
      <c r="J101" s="74"/>
      <c r="K101" s="75"/>
      <c r="L101" s="74"/>
      <c r="M101" s="75"/>
      <c r="N101" s="74"/>
      <c r="O101" s="75"/>
      <c r="P101" s="74"/>
      <c r="Q101" s="75"/>
      <c r="R101" s="74"/>
      <c r="U101" s="76"/>
      <c r="V101" s="50"/>
      <c r="W101" s="50"/>
    </row>
    <row r="102" spans="1:23" x14ac:dyDescent="0.2">
      <c r="A102" s="88"/>
      <c r="B102" s="92"/>
      <c r="C102" s="92"/>
      <c r="D102" s="92"/>
      <c r="E102" s="92"/>
      <c r="F102" s="74"/>
      <c r="G102" s="75"/>
      <c r="H102" s="74"/>
      <c r="J102" s="74"/>
      <c r="K102" s="75"/>
      <c r="L102" s="74"/>
      <c r="M102" s="75"/>
      <c r="N102" s="74"/>
      <c r="O102" s="75"/>
      <c r="P102" s="74"/>
      <c r="Q102" s="75"/>
      <c r="R102" s="74"/>
      <c r="U102" s="76"/>
      <c r="V102" s="50"/>
      <c r="W102" s="50"/>
    </row>
    <row r="103" spans="1:23" ht="13.5" x14ac:dyDescent="0.25">
      <c r="A103" s="73" t="s">
        <v>259</v>
      </c>
      <c r="F103" s="74"/>
      <c r="G103" s="75"/>
      <c r="H103" s="74"/>
      <c r="J103" s="74"/>
      <c r="K103" s="75"/>
      <c r="L103" s="74"/>
      <c r="M103" s="75"/>
      <c r="N103" s="74">
        <v>1</v>
      </c>
      <c r="O103" s="75" t="s">
        <v>240</v>
      </c>
      <c r="P103" s="74"/>
      <c r="Q103" s="75"/>
      <c r="R103" s="173" t="s">
        <v>260</v>
      </c>
      <c r="U103" s="76"/>
      <c r="V103" s="50"/>
      <c r="W103" s="50"/>
    </row>
    <row r="104" spans="1:23" x14ac:dyDescent="0.2">
      <c r="A104" s="73" t="s">
        <v>145</v>
      </c>
      <c r="F104" s="74"/>
      <c r="G104" s="75"/>
      <c r="H104" s="74"/>
      <c r="J104" s="74"/>
      <c r="K104" s="75"/>
      <c r="L104" s="74"/>
      <c r="M104" s="75"/>
      <c r="N104" s="74">
        <v>715</v>
      </c>
      <c r="O104" s="75" t="s">
        <v>120</v>
      </c>
      <c r="P104" s="74"/>
      <c r="Q104" s="75"/>
      <c r="R104" s="74"/>
      <c r="U104" s="76"/>
      <c r="V104" s="50"/>
      <c r="W104" s="50"/>
    </row>
    <row r="105" spans="1:23" ht="13.5" thickBot="1" x14ac:dyDescent="0.25">
      <c r="A105" s="174" t="s">
        <v>144</v>
      </c>
      <c r="B105" s="82"/>
      <c r="C105" s="82"/>
      <c r="D105" s="82"/>
      <c r="E105" s="82"/>
      <c r="F105" s="83"/>
      <c r="G105" s="84"/>
      <c r="H105" s="83"/>
      <c r="I105" s="82"/>
      <c r="J105" s="83"/>
      <c r="K105" s="84"/>
      <c r="L105" s="83"/>
      <c r="M105" s="84"/>
      <c r="N105" s="83">
        <v>715</v>
      </c>
      <c r="O105" s="84" t="s">
        <v>120</v>
      </c>
      <c r="P105" s="83"/>
      <c r="Q105" s="84"/>
      <c r="R105" s="74"/>
      <c r="U105" s="76"/>
      <c r="V105" s="50"/>
      <c r="W105" s="50"/>
    </row>
    <row r="106" spans="1:23" ht="16.5" thickTop="1" x14ac:dyDescent="0.25">
      <c r="A106" s="73" t="s">
        <v>136</v>
      </c>
      <c r="F106" s="74"/>
      <c r="G106" s="75"/>
      <c r="H106" s="74"/>
      <c r="J106" s="74"/>
      <c r="K106" s="75"/>
      <c r="L106" s="74"/>
      <c r="M106" s="75"/>
      <c r="N106" s="74"/>
      <c r="O106" s="75"/>
      <c r="P106" s="74"/>
      <c r="Q106" s="75"/>
      <c r="R106" s="74"/>
      <c r="U106" s="76"/>
      <c r="V106" s="50"/>
      <c r="W106" s="50"/>
    </row>
    <row r="107" spans="1:23" x14ac:dyDescent="0.2">
      <c r="A107" s="73"/>
      <c r="F107" s="74"/>
      <c r="G107" s="75"/>
      <c r="H107" s="74"/>
      <c r="J107" s="74"/>
      <c r="K107" s="75"/>
      <c r="L107" s="74"/>
      <c r="M107" s="75"/>
      <c r="N107" s="74"/>
      <c r="O107" s="75"/>
      <c r="P107" s="74"/>
      <c r="Q107" s="75"/>
      <c r="R107" s="74"/>
      <c r="U107" s="76"/>
      <c r="V107" s="50"/>
      <c r="W107" s="50"/>
    </row>
    <row r="108" spans="1:23" x14ac:dyDescent="0.2">
      <c r="A108" s="175" t="s">
        <v>144</v>
      </c>
      <c r="B108" s="170"/>
      <c r="C108" s="170"/>
      <c r="D108" s="170"/>
      <c r="E108" s="170"/>
      <c r="F108" s="74"/>
      <c r="G108" s="75"/>
      <c r="H108" s="74"/>
      <c r="J108" s="74"/>
      <c r="K108" s="75"/>
      <c r="L108" s="74"/>
      <c r="M108" s="75"/>
      <c r="N108" s="74">
        <v>2</v>
      </c>
      <c r="O108" s="75" t="s">
        <v>120</v>
      </c>
      <c r="P108" s="74"/>
      <c r="Q108" s="75"/>
      <c r="R108" s="74"/>
      <c r="U108" s="76"/>
      <c r="V108" s="50"/>
      <c r="W108" s="50"/>
    </row>
    <row r="109" spans="1:23" x14ac:dyDescent="0.2">
      <c r="A109" s="73" t="s">
        <v>145</v>
      </c>
      <c r="F109" s="74"/>
      <c r="G109" s="75"/>
      <c r="H109" s="74"/>
      <c r="J109" s="74"/>
      <c r="K109" s="75"/>
      <c r="L109" s="74"/>
      <c r="M109" s="75"/>
      <c r="N109" s="74">
        <v>998</v>
      </c>
      <c r="O109" s="75" t="s">
        <v>120</v>
      </c>
      <c r="P109" s="74"/>
      <c r="Q109" s="75"/>
      <c r="R109" s="74"/>
      <c r="U109" s="76"/>
      <c r="V109" s="50"/>
      <c r="W109" s="50"/>
    </row>
    <row r="110" spans="1:23" s="182" customFormat="1" ht="13.5" thickBot="1" x14ac:dyDescent="0.25">
      <c r="A110" s="158" t="s">
        <v>143</v>
      </c>
      <c r="B110" s="176"/>
      <c r="C110" s="176"/>
      <c r="D110" s="176"/>
      <c r="E110" s="176"/>
      <c r="F110" s="177"/>
      <c r="G110" s="178"/>
      <c r="H110" s="177"/>
      <c r="I110" s="176"/>
      <c r="J110" s="177"/>
      <c r="K110" s="178"/>
      <c r="L110" s="177"/>
      <c r="M110" s="178"/>
      <c r="N110" s="177">
        <v>1000</v>
      </c>
      <c r="O110" s="178" t="s">
        <v>120</v>
      </c>
      <c r="P110" s="177"/>
      <c r="Q110" s="178"/>
      <c r="R110" s="179"/>
      <c r="S110" s="180"/>
      <c r="T110" s="180"/>
      <c r="U110" s="181"/>
    </row>
    <row r="111" spans="1:23" ht="16.5" thickTop="1" x14ac:dyDescent="0.25">
      <c r="A111" s="73" t="s">
        <v>136</v>
      </c>
      <c r="F111" s="74"/>
      <c r="G111" s="75"/>
      <c r="H111" s="74"/>
      <c r="J111" s="74"/>
      <c r="K111" s="75"/>
      <c r="L111" s="74"/>
      <c r="M111" s="75"/>
      <c r="N111" s="74"/>
      <c r="O111" s="75"/>
      <c r="P111" s="74"/>
      <c r="Q111" s="75"/>
      <c r="R111" s="74"/>
      <c r="U111" s="76"/>
      <c r="V111" s="50"/>
      <c r="W111" s="50"/>
    </row>
    <row r="112" spans="1:23" x14ac:dyDescent="0.2">
      <c r="A112" s="73"/>
      <c r="F112" s="74"/>
      <c r="G112" s="75"/>
      <c r="H112" s="74"/>
      <c r="J112" s="74"/>
      <c r="K112" s="75"/>
      <c r="L112" s="74"/>
      <c r="M112" s="75"/>
      <c r="N112" s="74"/>
      <c r="O112" s="75"/>
      <c r="P112" s="74"/>
      <c r="Q112" s="75"/>
      <c r="R112" s="74"/>
      <c r="U112" s="76"/>
      <c r="V112" s="50"/>
      <c r="W112" s="50"/>
    </row>
    <row r="113" spans="1:23" s="157" customFormat="1" ht="18" x14ac:dyDescent="0.25">
      <c r="A113" s="147" t="s">
        <v>146</v>
      </c>
      <c r="B113" s="148"/>
      <c r="C113" s="148"/>
      <c r="D113" s="148"/>
      <c r="E113" s="148"/>
      <c r="F113" s="154"/>
      <c r="G113" s="159"/>
      <c r="H113" s="154"/>
      <c r="I113" s="155"/>
      <c r="J113" s="154"/>
      <c r="K113" s="159"/>
      <c r="L113" s="154"/>
      <c r="M113" s="159"/>
      <c r="N113" s="154"/>
      <c r="O113" s="159"/>
      <c r="P113" s="154"/>
      <c r="Q113" s="159"/>
      <c r="R113" s="154"/>
      <c r="S113" s="155"/>
      <c r="T113" s="155"/>
      <c r="U113" s="156"/>
    </row>
    <row r="114" spans="1:23" x14ac:dyDescent="0.2">
      <c r="A114" s="73"/>
      <c r="F114" s="74"/>
      <c r="G114" s="75"/>
      <c r="H114" s="74"/>
      <c r="J114" s="74"/>
      <c r="K114" s="75"/>
      <c r="L114" s="74"/>
      <c r="M114" s="75"/>
      <c r="N114" s="74"/>
      <c r="O114" s="75"/>
      <c r="P114" s="74"/>
      <c r="Q114" s="75"/>
      <c r="R114" s="74"/>
      <c r="U114" s="76"/>
      <c r="V114" s="50"/>
      <c r="W114" s="50"/>
    </row>
    <row r="115" spans="1:23" x14ac:dyDescent="0.2">
      <c r="A115" s="73" t="s">
        <v>147</v>
      </c>
      <c r="F115" s="74"/>
      <c r="G115" s="75"/>
      <c r="H115" s="74"/>
      <c r="J115" s="74"/>
      <c r="K115" s="75"/>
      <c r="L115" s="74"/>
      <c r="M115" s="75"/>
      <c r="N115" s="74"/>
      <c r="O115" s="75"/>
      <c r="P115" s="74">
        <v>1</v>
      </c>
      <c r="Q115" s="75" t="s">
        <v>240</v>
      </c>
      <c r="R115" s="74"/>
      <c r="U115" s="76"/>
      <c r="V115" s="50"/>
      <c r="W115" s="50"/>
    </row>
    <row r="116" spans="1:23" x14ac:dyDescent="0.2">
      <c r="A116" s="73" t="s">
        <v>149</v>
      </c>
      <c r="F116" s="74"/>
      <c r="G116" s="75"/>
      <c r="H116" s="74"/>
      <c r="J116" s="74"/>
      <c r="K116" s="75"/>
      <c r="L116" s="74"/>
      <c r="M116" s="75"/>
      <c r="N116" s="74"/>
      <c r="O116" s="75"/>
      <c r="P116" s="74">
        <v>3</v>
      </c>
      <c r="Q116" s="75" t="s">
        <v>240</v>
      </c>
      <c r="R116" s="74"/>
      <c r="U116" s="76"/>
      <c r="V116" s="50"/>
      <c r="W116" s="50"/>
    </row>
    <row r="117" spans="1:23" x14ac:dyDescent="0.2">
      <c r="A117" s="73" t="s">
        <v>151</v>
      </c>
      <c r="F117" s="74"/>
      <c r="G117" s="75"/>
      <c r="H117" s="74"/>
      <c r="J117" s="74"/>
      <c r="K117" s="75"/>
      <c r="L117" s="74"/>
      <c r="M117" s="75"/>
      <c r="N117" s="74"/>
      <c r="O117" s="75"/>
      <c r="P117" s="74">
        <v>6</v>
      </c>
      <c r="Q117" s="75" t="s">
        <v>240</v>
      </c>
      <c r="R117" s="74"/>
      <c r="U117" s="76"/>
      <c r="V117" s="50"/>
      <c r="W117" s="50"/>
    </row>
    <row r="118" spans="1:23" x14ac:dyDescent="0.2">
      <c r="A118" s="73" t="s">
        <v>145</v>
      </c>
      <c r="F118" s="74"/>
      <c r="G118" s="75"/>
      <c r="H118" s="74"/>
      <c r="J118" s="74"/>
      <c r="K118" s="75"/>
      <c r="L118" s="74"/>
      <c r="M118" s="75"/>
      <c r="N118" s="74"/>
      <c r="O118" s="75"/>
      <c r="P118" s="74">
        <v>250</v>
      </c>
      <c r="Q118" s="75" t="s">
        <v>126</v>
      </c>
      <c r="R118" s="74"/>
      <c r="U118" s="76"/>
      <c r="V118" s="50"/>
      <c r="W118" s="50"/>
    </row>
    <row r="119" spans="1:23" ht="13.5" thickBot="1" x14ac:dyDescent="0.25">
      <c r="A119" s="158" t="s">
        <v>146</v>
      </c>
      <c r="B119" s="82"/>
      <c r="C119" s="82"/>
      <c r="D119" s="82"/>
      <c r="E119" s="82"/>
      <c r="F119" s="83"/>
      <c r="G119" s="84"/>
      <c r="H119" s="83"/>
      <c r="I119" s="82"/>
      <c r="J119" s="83"/>
      <c r="K119" s="84"/>
      <c r="L119" s="83"/>
      <c r="M119" s="84"/>
      <c r="N119" s="83"/>
      <c r="O119" s="84"/>
      <c r="P119" s="83">
        <v>250</v>
      </c>
      <c r="Q119" s="84" t="s">
        <v>126</v>
      </c>
      <c r="R119" s="74"/>
      <c r="U119" s="76"/>
      <c r="V119" s="50"/>
      <c r="W119" s="50"/>
    </row>
    <row r="120" spans="1:23" ht="17.25" thickTop="1" thickBot="1" x14ac:dyDescent="0.3">
      <c r="A120" s="96" t="s">
        <v>136</v>
      </c>
      <c r="B120" s="97"/>
      <c r="C120" s="97"/>
      <c r="D120" s="97"/>
      <c r="E120" s="97"/>
      <c r="F120" s="97"/>
      <c r="G120" s="97"/>
      <c r="H120" s="97"/>
      <c r="I120" s="97"/>
      <c r="J120" s="97"/>
      <c r="K120" s="97"/>
      <c r="L120" s="97"/>
      <c r="M120" s="97"/>
      <c r="N120" s="97"/>
      <c r="O120" s="97"/>
      <c r="P120" s="97"/>
      <c r="Q120" s="97"/>
      <c r="R120" s="97"/>
      <c r="S120" s="97"/>
      <c r="T120" s="97"/>
      <c r="U120" s="98"/>
    </row>
    <row r="122" spans="1:23" ht="13.5" thickBot="1" x14ac:dyDescent="0.25"/>
    <row r="123" spans="1:23" s="157" customFormat="1" ht="18" x14ac:dyDescent="0.25">
      <c r="A123" s="44" t="s">
        <v>261</v>
      </c>
      <c r="B123" s="117"/>
      <c r="C123" s="117"/>
      <c r="D123" s="117"/>
      <c r="E123" s="117"/>
      <c r="F123" s="183"/>
      <c r="G123" s="184"/>
      <c r="H123" s="183"/>
      <c r="I123" s="145"/>
      <c r="J123" s="183"/>
      <c r="K123" s="184"/>
      <c r="L123" s="183"/>
      <c r="M123" s="184"/>
      <c r="N123" s="183"/>
      <c r="O123" s="184"/>
      <c r="P123" s="183"/>
      <c r="Q123" s="184"/>
      <c r="R123" s="183"/>
      <c r="S123" s="145"/>
      <c r="T123" s="145"/>
      <c r="U123" s="146"/>
    </row>
    <row r="124" spans="1:23" x14ac:dyDescent="0.2">
      <c r="A124" s="88"/>
      <c r="B124" s="92"/>
      <c r="C124" s="92"/>
      <c r="D124" s="92"/>
      <c r="E124" s="92"/>
      <c r="F124" s="74"/>
      <c r="G124" s="75"/>
      <c r="H124" s="74"/>
      <c r="J124" s="74"/>
      <c r="K124" s="75"/>
      <c r="L124" s="74"/>
      <c r="M124" s="75"/>
      <c r="N124" s="74"/>
      <c r="O124" s="75"/>
      <c r="P124" s="74"/>
      <c r="Q124" s="75"/>
      <c r="R124" s="74"/>
      <c r="U124" s="76"/>
      <c r="V124" s="50"/>
      <c r="W124" s="50"/>
    </row>
    <row r="125" spans="1:23" x14ac:dyDescent="0.2">
      <c r="A125" s="88"/>
      <c r="B125" s="92"/>
      <c r="C125" s="92"/>
      <c r="D125" s="92"/>
      <c r="E125" s="92"/>
      <c r="F125" s="74"/>
      <c r="G125" s="75"/>
      <c r="H125" s="74"/>
      <c r="J125" s="74"/>
      <c r="K125" s="75"/>
      <c r="L125" s="74"/>
      <c r="M125" s="75"/>
      <c r="N125" s="74"/>
      <c r="O125" s="75"/>
      <c r="P125" s="74"/>
      <c r="Q125" s="75"/>
      <c r="R125" s="185" t="s">
        <v>262</v>
      </c>
      <c r="U125" s="76"/>
      <c r="V125" s="50"/>
      <c r="W125" s="50"/>
    </row>
    <row r="126" spans="1:23" ht="13.5" x14ac:dyDescent="0.25">
      <c r="A126" s="73" t="s">
        <v>263</v>
      </c>
      <c r="F126" s="74"/>
      <c r="G126" s="75"/>
      <c r="H126" s="74"/>
      <c r="J126" s="74"/>
      <c r="K126" s="75"/>
      <c r="L126" s="74"/>
      <c r="M126" s="75"/>
      <c r="N126" s="74">
        <v>1</v>
      </c>
      <c r="O126" s="75" t="s">
        <v>240</v>
      </c>
      <c r="P126" s="74"/>
      <c r="Q126" s="75"/>
      <c r="R126" s="173"/>
      <c r="U126" s="76"/>
      <c r="V126" s="50"/>
      <c r="W126" s="50"/>
    </row>
    <row r="127" spans="1:23" x14ac:dyDescent="0.2">
      <c r="A127" s="73" t="s">
        <v>264</v>
      </c>
      <c r="F127" s="74"/>
      <c r="G127" s="75"/>
      <c r="H127" s="74"/>
      <c r="J127" s="74"/>
      <c r="K127" s="75"/>
      <c r="L127" s="74"/>
      <c r="M127" s="75"/>
      <c r="N127" s="74">
        <v>772</v>
      </c>
      <c r="O127" s="75" t="s">
        <v>120</v>
      </c>
      <c r="P127" s="74"/>
      <c r="Q127" s="75"/>
      <c r="R127" s="74"/>
      <c r="U127" s="76"/>
      <c r="V127" s="50"/>
      <c r="W127" s="50"/>
    </row>
    <row r="128" spans="1:23" ht="13.5" thickBot="1" x14ac:dyDescent="0.25">
      <c r="A128" s="174" t="s">
        <v>265</v>
      </c>
      <c r="B128" s="82"/>
      <c r="C128" s="186">
        <f>((1/D17)*N126*1000)/0.772</f>
        <v>0.99948826200985086</v>
      </c>
      <c r="D128" s="187" t="s">
        <v>266</v>
      </c>
      <c r="E128" s="82"/>
      <c r="F128" s="83"/>
      <c r="G128" s="84"/>
      <c r="H128" s="83"/>
      <c r="I128" s="82"/>
      <c r="J128" s="83"/>
      <c r="K128" s="84"/>
      <c r="L128" s="83"/>
      <c r="M128" s="84"/>
      <c r="N128" s="83">
        <v>772</v>
      </c>
      <c r="O128" s="84" t="s">
        <v>120</v>
      </c>
      <c r="P128" s="83"/>
      <c r="Q128" s="84"/>
      <c r="R128" s="74"/>
      <c r="U128" s="76"/>
      <c r="V128" s="50"/>
      <c r="W128" s="50"/>
    </row>
    <row r="129" spans="1:23" ht="16.5" thickTop="1" x14ac:dyDescent="0.25">
      <c r="A129" s="73" t="s">
        <v>136</v>
      </c>
      <c r="F129" s="74"/>
      <c r="G129" s="75"/>
      <c r="H129" s="74"/>
      <c r="J129" s="74"/>
      <c r="K129" s="75"/>
      <c r="L129" s="74"/>
      <c r="M129" s="75"/>
      <c r="N129" s="74"/>
      <c r="O129" s="75"/>
      <c r="P129" s="74"/>
      <c r="Q129" s="75"/>
      <c r="R129" s="74"/>
      <c r="U129" s="76"/>
      <c r="V129" s="50"/>
      <c r="W129" s="50"/>
    </row>
    <row r="130" spans="1:23" x14ac:dyDescent="0.2">
      <c r="A130" s="73"/>
      <c r="F130" s="74"/>
      <c r="G130" s="75"/>
      <c r="H130" s="74"/>
      <c r="J130" s="74"/>
      <c r="K130" s="75"/>
      <c r="L130" s="74"/>
      <c r="M130" s="75"/>
      <c r="N130" s="74"/>
      <c r="O130" s="75"/>
      <c r="P130" s="74"/>
      <c r="Q130" s="75"/>
      <c r="R130" s="74"/>
      <c r="U130" s="76"/>
      <c r="V130" s="50"/>
      <c r="W130" s="50"/>
    </row>
    <row r="131" spans="1:23" x14ac:dyDescent="0.2">
      <c r="A131" s="175" t="str">
        <f>A128</f>
        <v>Angiotensin l stock solution (1 nmol/µl)</v>
      </c>
      <c r="B131" s="170"/>
      <c r="C131" s="170"/>
      <c r="D131" s="170"/>
      <c r="E131" s="170"/>
      <c r="F131" s="74"/>
      <c r="G131" s="75"/>
      <c r="H131" s="74"/>
      <c r="J131" s="74"/>
      <c r="K131" s="75"/>
      <c r="L131" s="74"/>
      <c r="M131" s="75"/>
      <c r="N131" s="74">
        <v>1</v>
      </c>
      <c r="O131" s="75" t="s">
        <v>120</v>
      </c>
      <c r="P131" s="74"/>
      <c r="Q131" s="75"/>
      <c r="R131" s="74"/>
      <c r="U131" s="76"/>
      <c r="V131" s="50"/>
      <c r="W131" s="50"/>
    </row>
    <row r="132" spans="1:23" x14ac:dyDescent="0.2">
      <c r="A132" s="73" t="s">
        <v>267</v>
      </c>
      <c r="F132" s="74"/>
      <c r="G132" s="75"/>
      <c r="H132" s="74"/>
      <c r="J132" s="74"/>
      <c r="K132" s="75"/>
      <c r="L132" s="74"/>
      <c r="M132" s="75"/>
      <c r="N132" s="74">
        <v>999</v>
      </c>
      <c r="O132" s="75" t="s">
        <v>120</v>
      </c>
      <c r="P132" s="74"/>
      <c r="Q132" s="75"/>
      <c r="R132" s="74"/>
      <c r="U132" s="76"/>
      <c r="V132" s="50"/>
      <c r="W132" s="50"/>
    </row>
    <row r="133" spans="1:23" s="182" customFormat="1" ht="13.5" thickBot="1" x14ac:dyDescent="0.25">
      <c r="A133" s="158" t="s">
        <v>268</v>
      </c>
      <c r="B133" s="176"/>
      <c r="C133" s="176"/>
      <c r="D133" s="176"/>
      <c r="E133" s="176"/>
      <c r="F133" s="177"/>
      <c r="G133" s="178"/>
      <c r="H133" s="177"/>
      <c r="I133" s="176"/>
      <c r="J133" s="177"/>
      <c r="K133" s="178"/>
      <c r="L133" s="177"/>
      <c r="M133" s="178"/>
      <c r="N133" s="177">
        <v>1000</v>
      </c>
      <c r="O133" s="178" t="s">
        <v>120</v>
      </c>
      <c r="P133" s="177"/>
      <c r="Q133" s="178"/>
      <c r="R133" s="179"/>
      <c r="S133" s="180"/>
      <c r="T133" s="180"/>
      <c r="U133" s="181"/>
    </row>
    <row r="134" spans="1:23" ht="17.25" thickTop="1" thickBot="1" x14ac:dyDescent="0.3">
      <c r="A134" s="96" t="s">
        <v>136</v>
      </c>
      <c r="B134" s="97"/>
      <c r="C134" s="97"/>
      <c r="D134" s="97"/>
      <c r="E134" s="97"/>
      <c r="F134" s="188"/>
      <c r="G134" s="189"/>
      <c r="H134" s="188"/>
      <c r="I134" s="97"/>
      <c r="J134" s="188"/>
      <c r="K134" s="189"/>
      <c r="L134" s="188"/>
      <c r="M134" s="189"/>
      <c r="N134" s="188"/>
      <c r="O134" s="189"/>
      <c r="P134" s="188"/>
      <c r="Q134" s="189"/>
      <c r="R134" s="188"/>
      <c r="S134" s="97"/>
      <c r="T134" s="97"/>
      <c r="U134" s="98"/>
      <c r="V134" s="50"/>
      <c r="W134" s="50"/>
    </row>
    <row r="137" spans="1:23" ht="13.5" thickBot="1" x14ac:dyDescent="0.25"/>
    <row r="138" spans="1:23" s="157" customFormat="1" ht="18" x14ac:dyDescent="0.25">
      <c r="A138" s="44" t="s">
        <v>269</v>
      </c>
      <c r="B138" s="117"/>
      <c r="C138" s="117"/>
      <c r="D138" s="117"/>
      <c r="E138" s="117"/>
      <c r="F138" s="183"/>
      <c r="G138" s="184"/>
      <c r="H138" s="183"/>
      <c r="I138" s="145"/>
      <c r="J138" s="183"/>
      <c r="K138" s="184"/>
      <c r="L138" s="183"/>
      <c r="M138" s="184"/>
      <c r="N138" s="183"/>
      <c r="O138" s="184"/>
      <c r="P138" s="183"/>
      <c r="Q138" s="184"/>
      <c r="R138" s="183"/>
      <c r="S138" s="145"/>
      <c r="T138" s="145"/>
      <c r="U138" s="146"/>
    </row>
    <row r="139" spans="1:23" x14ac:dyDescent="0.2">
      <c r="A139" s="88"/>
      <c r="B139" s="92"/>
      <c r="C139" s="92"/>
      <c r="D139" s="92"/>
      <c r="E139" s="92"/>
      <c r="F139" s="74"/>
      <c r="G139" s="75"/>
      <c r="H139" s="74"/>
      <c r="J139" s="74"/>
      <c r="K139" s="75"/>
      <c r="L139" s="74"/>
      <c r="M139" s="75"/>
      <c r="N139" s="74"/>
      <c r="O139" s="75"/>
      <c r="P139" s="74"/>
      <c r="Q139" s="75"/>
      <c r="R139" s="74"/>
      <c r="U139" s="76"/>
      <c r="V139" s="50"/>
      <c r="W139" s="50"/>
    </row>
    <row r="140" spans="1:23" x14ac:dyDescent="0.2">
      <c r="A140" s="88"/>
      <c r="B140" s="92"/>
      <c r="C140" s="92"/>
      <c r="D140" s="92"/>
      <c r="E140" s="92"/>
      <c r="F140" s="74"/>
      <c r="G140" s="75"/>
      <c r="H140" s="74"/>
      <c r="J140" s="74"/>
      <c r="K140" s="75"/>
      <c r="L140" s="74"/>
      <c r="M140" s="75"/>
      <c r="N140" s="74"/>
      <c r="O140" s="75"/>
      <c r="P140" s="74"/>
      <c r="Q140" s="75"/>
      <c r="R140" s="74" t="s">
        <v>270</v>
      </c>
      <c r="U140" s="76"/>
      <c r="V140" s="50"/>
      <c r="W140" s="50"/>
    </row>
    <row r="141" spans="1:23" ht="13.5" x14ac:dyDescent="0.25">
      <c r="A141" s="73" t="s">
        <v>271</v>
      </c>
      <c r="F141" s="74"/>
      <c r="G141" s="75"/>
      <c r="H141" s="74"/>
      <c r="J141" s="74"/>
      <c r="K141" s="75"/>
      <c r="L141" s="74"/>
      <c r="M141" s="75"/>
      <c r="N141" s="74">
        <v>22</v>
      </c>
      <c r="O141" s="75" t="s">
        <v>240</v>
      </c>
      <c r="P141" s="74"/>
      <c r="Q141" s="75"/>
      <c r="R141" s="173"/>
      <c r="U141" s="76"/>
      <c r="V141" s="50"/>
      <c r="W141" s="50"/>
    </row>
    <row r="142" spans="1:23" x14ac:dyDescent="0.2">
      <c r="A142" s="73" t="s">
        <v>139</v>
      </c>
      <c r="F142" s="74"/>
      <c r="G142" s="75"/>
      <c r="H142" s="74"/>
      <c r="J142" s="74"/>
      <c r="K142" s="75"/>
      <c r="L142" s="74"/>
      <c r="M142" s="75"/>
      <c r="N142" s="74">
        <v>5</v>
      </c>
      <c r="O142" s="75" t="s">
        <v>126</v>
      </c>
      <c r="P142" s="74"/>
      <c r="Q142" s="75"/>
      <c r="R142" s="74"/>
      <c r="U142" s="76"/>
      <c r="V142" s="50"/>
      <c r="W142" s="50"/>
    </row>
    <row r="143" spans="1:23" ht="13.5" thickBot="1" x14ac:dyDescent="0.25">
      <c r="A143" s="174" t="s">
        <v>138</v>
      </c>
      <c r="B143" s="82"/>
      <c r="C143" s="186">
        <f>((1/D18)*N141*1000)/5</f>
        <v>0.97951914514692784</v>
      </c>
      <c r="D143" s="187" t="s">
        <v>266</v>
      </c>
      <c r="E143" s="82"/>
      <c r="F143" s="83"/>
      <c r="G143" s="84"/>
      <c r="H143" s="83"/>
      <c r="I143" s="82"/>
      <c r="J143" s="83"/>
      <c r="K143" s="84"/>
      <c r="L143" s="83"/>
      <c r="M143" s="84"/>
      <c r="N143" s="83">
        <v>5</v>
      </c>
      <c r="O143" s="84" t="s">
        <v>126</v>
      </c>
      <c r="P143" s="83"/>
      <c r="Q143" s="84"/>
      <c r="R143" s="74"/>
      <c r="U143" s="76"/>
      <c r="V143" s="50"/>
      <c r="W143" s="50"/>
    </row>
    <row r="144" spans="1:23" ht="16.5" thickTop="1" x14ac:dyDescent="0.25">
      <c r="A144" s="73" t="s">
        <v>136</v>
      </c>
      <c r="F144" s="74"/>
      <c r="G144" s="75"/>
      <c r="H144" s="74"/>
      <c r="J144" s="74"/>
      <c r="K144" s="75"/>
      <c r="L144" s="74"/>
      <c r="M144" s="75"/>
      <c r="N144" s="74"/>
      <c r="O144" s="75"/>
      <c r="P144" s="74"/>
      <c r="Q144" s="75"/>
      <c r="R144" s="74"/>
      <c r="U144" s="76"/>
      <c r="V144" s="50"/>
      <c r="W144" s="50"/>
    </row>
    <row r="145" spans="1:23" x14ac:dyDescent="0.2">
      <c r="A145" s="73"/>
      <c r="F145" s="74"/>
      <c r="G145" s="75"/>
      <c r="H145" s="74"/>
      <c r="J145" s="74"/>
      <c r="K145" s="75"/>
      <c r="L145" s="74"/>
      <c r="M145" s="75"/>
      <c r="N145" s="74"/>
      <c r="O145" s="75"/>
      <c r="P145" s="74"/>
      <c r="Q145" s="75"/>
      <c r="R145" s="74"/>
      <c r="U145" s="76"/>
      <c r="V145" s="50"/>
      <c r="W145" s="50"/>
    </row>
    <row r="146" spans="1:23" x14ac:dyDescent="0.2">
      <c r="A146" s="73" t="str">
        <f>A143</f>
        <v>Enfuvirtide stock solution ( 4.4mg/ml)</v>
      </c>
      <c r="B146" s="170"/>
      <c r="C146" s="170"/>
      <c r="D146" s="170"/>
      <c r="E146" s="170"/>
      <c r="F146" s="74"/>
      <c r="G146" s="75"/>
      <c r="H146" s="74"/>
      <c r="J146" s="74"/>
      <c r="K146" s="75"/>
      <c r="L146" s="74"/>
      <c r="M146" s="75"/>
      <c r="N146" s="74">
        <v>200</v>
      </c>
      <c r="O146" s="75" t="s">
        <v>120</v>
      </c>
      <c r="P146" s="74"/>
      <c r="Q146" s="75"/>
      <c r="R146" s="74"/>
      <c r="U146" s="76"/>
      <c r="V146" s="50"/>
      <c r="W146" s="50"/>
    </row>
    <row r="147" spans="1:23" x14ac:dyDescent="0.2">
      <c r="A147" s="73" t="s">
        <v>139</v>
      </c>
      <c r="F147" s="74"/>
      <c r="G147" s="75"/>
      <c r="H147" s="74"/>
      <c r="J147" s="74"/>
      <c r="K147" s="75"/>
      <c r="L147" s="74"/>
      <c r="M147" s="75"/>
      <c r="N147" s="74">
        <v>19.8</v>
      </c>
      <c r="O147" s="75" t="s">
        <v>126</v>
      </c>
      <c r="P147" s="74"/>
      <c r="Q147" s="75"/>
      <c r="R147" s="74"/>
      <c r="U147" s="76"/>
      <c r="V147" s="50"/>
      <c r="W147" s="50"/>
    </row>
    <row r="148" spans="1:23" x14ac:dyDescent="0.2">
      <c r="A148" s="73" t="s">
        <v>140</v>
      </c>
      <c r="F148" s="74"/>
      <c r="G148" s="75"/>
      <c r="H148" s="74"/>
      <c r="J148" s="74"/>
      <c r="K148" s="75"/>
      <c r="L148" s="74"/>
      <c r="M148" s="75"/>
      <c r="N148" s="74">
        <v>20</v>
      </c>
      <c r="O148" s="75" t="s">
        <v>120</v>
      </c>
      <c r="P148" s="74"/>
      <c r="Q148" s="75"/>
      <c r="R148" s="74"/>
      <c r="U148" s="76"/>
      <c r="V148" s="50"/>
      <c r="W148" s="50"/>
    </row>
    <row r="149" spans="1:23" s="182" customFormat="1" ht="13.5" thickBot="1" x14ac:dyDescent="0.25">
      <c r="A149" s="158" t="s">
        <v>272</v>
      </c>
      <c r="B149" s="176"/>
      <c r="C149" s="190">
        <f>(C143/100)*1000</f>
        <v>9.7951914514692788</v>
      </c>
      <c r="D149" s="191" t="s">
        <v>273</v>
      </c>
      <c r="E149" s="176"/>
      <c r="F149" s="177"/>
      <c r="G149" s="178"/>
      <c r="H149" s="177"/>
      <c r="I149" s="176"/>
      <c r="J149" s="177"/>
      <c r="K149" s="178"/>
      <c r="L149" s="177"/>
      <c r="M149" s="178"/>
      <c r="N149" s="177">
        <v>20</v>
      </c>
      <c r="O149" s="178" t="s">
        <v>126</v>
      </c>
      <c r="P149" s="177"/>
      <c r="Q149" s="178"/>
      <c r="R149" s="179"/>
      <c r="S149" s="180"/>
      <c r="T149" s="180"/>
      <c r="U149" s="181"/>
    </row>
    <row r="150" spans="1:23" ht="13.5" thickTop="1" x14ac:dyDescent="0.2">
      <c r="A150" s="73" t="s">
        <v>141</v>
      </c>
      <c r="U150" s="76"/>
      <c r="V150" s="50"/>
      <c r="W150" s="50"/>
    </row>
    <row r="151" spans="1:23" ht="16.5" thickBot="1" x14ac:dyDescent="0.3">
      <c r="A151" s="96" t="s">
        <v>136</v>
      </c>
      <c r="B151" s="97"/>
      <c r="C151" s="97"/>
      <c r="D151" s="97"/>
      <c r="E151" s="97"/>
      <c r="F151" s="97"/>
      <c r="G151" s="97"/>
      <c r="H151" s="97"/>
      <c r="I151" s="97"/>
      <c r="J151" s="97"/>
      <c r="K151" s="97"/>
      <c r="L151" s="97"/>
      <c r="M151" s="97"/>
      <c r="N151" s="97"/>
      <c r="O151" s="97"/>
      <c r="P151" s="97"/>
      <c r="Q151" s="97"/>
      <c r="R151" s="97"/>
      <c r="S151" s="97"/>
      <c r="T151" s="97"/>
      <c r="U151" s="98"/>
    </row>
  </sheetData>
  <mergeCells count="1">
    <mergeCell ref="T2:U2"/>
  </mergeCells>
  <hyperlinks>
    <hyperlink ref="E11" r:id="rId1"/>
    <hyperlink ref="E6" r:id="rId2"/>
    <hyperlink ref="E9" r:id="rId3"/>
    <hyperlink ref="E45" r:id="rId4"/>
    <hyperlink ref="E49" r:id="rId5"/>
    <hyperlink ref="E8" r:id="rId6"/>
    <hyperlink ref="E10" r:id="rId7"/>
    <hyperlink ref="E29" r:id="rId8"/>
    <hyperlink ref="E30" r:id="rId9"/>
    <hyperlink ref="E31" r:id="rId10"/>
    <hyperlink ref="E32" r:id="rId11"/>
    <hyperlink ref="E33" r:id="rId12"/>
    <hyperlink ref="E13" r:id="rId13"/>
    <hyperlink ref="E14" r:id="rId14"/>
    <hyperlink ref="E15" r:id="rId15"/>
    <hyperlink ref="E16" r:id="rId16"/>
    <hyperlink ref="E20" r:id="rId17"/>
    <hyperlink ref="E21" r:id="rId18"/>
    <hyperlink ref="E22" r:id="rId19"/>
    <hyperlink ref="E7" r:id="rId20"/>
    <hyperlink ref="E19" r:id="rId21"/>
    <hyperlink ref="E18" r:id="rId22"/>
  </hyperlinks>
  <pageMargins left="0.7" right="0.7" top="0.75" bottom="0.75" header="0.3" footer="0.3"/>
  <pageSetup scale="85" fitToHeight="0" orientation="landscape" r:id="rId23"/>
  <headerFooter>
    <oddHeader>&amp;L&amp;8&amp;Z&amp;F/&amp;F/&amp;A
&amp;D   &amp;T&amp;R&amp;8&amp;P of &amp;N</oddHeader>
  </headerFooter>
  <drawing r:id="rId24"/>
  <legacyDrawing r:id="rId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workbookViewId="0">
      <pane ySplit="4" topLeftCell="A5" activePane="bottomLeft" state="frozen"/>
      <selection pane="bottomLeft" activeCell="A3" sqref="A3"/>
    </sheetView>
  </sheetViews>
  <sheetFormatPr defaultRowHeight="12.75" x14ac:dyDescent="0.2"/>
  <cols>
    <col min="1" max="1" width="27.140625" style="74" customWidth="1"/>
    <col min="2" max="2" width="9" style="40" customWidth="1"/>
    <col min="3" max="3" width="6.5703125" style="40" customWidth="1"/>
    <col min="4" max="4" width="8.5703125" style="50" customWidth="1"/>
    <col min="5" max="5" width="13.85546875" style="40" customWidth="1"/>
    <col min="6" max="6" width="6.5703125" style="40" customWidth="1"/>
    <col min="7" max="7" width="3.85546875" style="40" customWidth="1"/>
    <col min="8" max="8" width="5.42578125" style="40" customWidth="1"/>
    <col min="9" max="9" width="3.85546875" style="40" customWidth="1"/>
    <col min="10" max="10" width="6.5703125" style="40" customWidth="1"/>
    <col min="11" max="11" width="3.85546875" style="40" customWidth="1"/>
    <col min="12" max="12" width="6.5703125" style="40" customWidth="1"/>
    <col min="13" max="13" width="3.85546875" style="40" customWidth="1"/>
    <col min="14" max="14" width="6.5703125" style="40" customWidth="1"/>
    <col min="15" max="15" width="3.85546875" style="40" customWidth="1"/>
    <col min="16" max="16" width="6.5703125" style="40" customWidth="1"/>
    <col min="17" max="17" width="3.85546875" style="40" customWidth="1"/>
    <col min="18" max="18" width="6.5703125" style="40" customWidth="1"/>
    <col min="19" max="19" width="3.85546875" style="40" customWidth="1"/>
    <col min="20" max="20" width="9.140625" style="40"/>
    <col min="21" max="256" width="9.140625" style="50"/>
    <col min="257" max="257" width="27.140625" style="50" customWidth="1"/>
    <col min="258" max="258" width="9" style="50" customWidth="1"/>
    <col min="259" max="259" width="6.5703125" style="50" customWidth="1"/>
    <col min="260" max="260" width="8.5703125" style="50" customWidth="1"/>
    <col min="261" max="261" width="13.85546875" style="50" customWidth="1"/>
    <col min="262" max="262" width="6.5703125" style="50" customWidth="1"/>
    <col min="263" max="263" width="3.85546875" style="50" customWidth="1"/>
    <col min="264" max="264" width="5.42578125" style="50" customWidth="1"/>
    <col min="265" max="265" width="3.85546875" style="50" customWidth="1"/>
    <col min="266" max="266" width="6.5703125" style="50" customWidth="1"/>
    <col min="267" max="267" width="3.85546875" style="50" customWidth="1"/>
    <col min="268" max="268" width="6.5703125" style="50" customWidth="1"/>
    <col min="269" max="269" width="3.85546875" style="50" customWidth="1"/>
    <col min="270" max="270" width="6.5703125" style="50" customWidth="1"/>
    <col min="271" max="271" width="3.85546875" style="50" customWidth="1"/>
    <col min="272" max="272" width="6.5703125" style="50" customWidth="1"/>
    <col min="273" max="273" width="3.85546875" style="50" customWidth="1"/>
    <col min="274" max="274" width="6.5703125" style="50" customWidth="1"/>
    <col min="275" max="275" width="3.85546875" style="50" customWidth="1"/>
    <col min="276" max="512" width="9.140625" style="50"/>
    <col min="513" max="513" width="27.140625" style="50" customWidth="1"/>
    <col min="514" max="514" width="9" style="50" customWidth="1"/>
    <col min="515" max="515" width="6.5703125" style="50" customWidth="1"/>
    <col min="516" max="516" width="8.5703125" style="50" customWidth="1"/>
    <col min="517" max="517" width="13.85546875" style="50" customWidth="1"/>
    <col min="518" max="518" width="6.5703125" style="50" customWidth="1"/>
    <col min="519" max="519" width="3.85546875" style="50" customWidth="1"/>
    <col min="520" max="520" width="5.42578125" style="50" customWidth="1"/>
    <col min="521" max="521" width="3.85546875" style="50" customWidth="1"/>
    <col min="522" max="522" width="6.5703125" style="50" customWidth="1"/>
    <col min="523" max="523" width="3.85546875" style="50" customWidth="1"/>
    <col min="524" max="524" width="6.5703125" style="50" customWidth="1"/>
    <col min="525" max="525" width="3.85546875" style="50" customWidth="1"/>
    <col min="526" max="526" width="6.5703125" style="50" customWidth="1"/>
    <col min="527" max="527" width="3.85546875" style="50" customWidth="1"/>
    <col min="528" max="528" width="6.5703125" style="50" customWidth="1"/>
    <col min="529" max="529" width="3.85546875" style="50" customWidth="1"/>
    <col min="530" max="530" width="6.5703125" style="50" customWidth="1"/>
    <col min="531" max="531" width="3.85546875" style="50" customWidth="1"/>
    <col min="532" max="768" width="9.140625" style="50"/>
    <col min="769" max="769" width="27.140625" style="50" customWidth="1"/>
    <col min="770" max="770" width="9" style="50" customWidth="1"/>
    <col min="771" max="771" width="6.5703125" style="50" customWidth="1"/>
    <col min="772" max="772" width="8.5703125" style="50" customWidth="1"/>
    <col min="773" max="773" width="13.85546875" style="50" customWidth="1"/>
    <col min="774" max="774" width="6.5703125" style="50" customWidth="1"/>
    <col min="775" max="775" width="3.85546875" style="50" customWidth="1"/>
    <col min="776" max="776" width="5.42578125" style="50" customWidth="1"/>
    <col min="777" max="777" width="3.85546875" style="50" customWidth="1"/>
    <col min="778" max="778" width="6.5703125" style="50" customWidth="1"/>
    <col min="779" max="779" width="3.85546875" style="50" customWidth="1"/>
    <col min="780" max="780" width="6.5703125" style="50" customWidth="1"/>
    <col min="781" max="781" width="3.85546875" style="50" customWidth="1"/>
    <col min="782" max="782" width="6.5703125" style="50" customWidth="1"/>
    <col min="783" max="783" width="3.85546875" style="50" customWidth="1"/>
    <col min="784" max="784" width="6.5703125" style="50" customWidth="1"/>
    <col min="785" max="785" width="3.85546875" style="50" customWidth="1"/>
    <col min="786" max="786" width="6.5703125" style="50" customWidth="1"/>
    <col min="787" max="787" width="3.85546875" style="50" customWidth="1"/>
    <col min="788" max="1024" width="9.140625" style="50"/>
    <col min="1025" max="1025" width="27.140625" style="50" customWidth="1"/>
    <col min="1026" max="1026" width="9" style="50" customWidth="1"/>
    <col min="1027" max="1027" width="6.5703125" style="50" customWidth="1"/>
    <col min="1028" max="1028" width="8.5703125" style="50" customWidth="1"/>
    <col min="1029" max="1029" width="13.85546875" style="50" customWidth="1"/>
    <col min="1030" max="1030" width="6.5703125" style="50" customWidth="1"/>
    <col min="1031" max="1031" width="3.85546875" style="50" customWidth="1"/>
    <col min="1032" max="1032" width="5.42578125" style="50" customWidth="1"/>
    <col min="1033" max="1033" width="3.85546875" style="50" customWidth="1"/>
    <col min="1034" max="1034" width="6.5703125" style="50" customWidth="1"/>
    <col min="1035" max="1035" width="3.85546875" style="50" customWidth="1"/>
    <col min="1036" max="1036" width="6.5703125" style="50" customWidth="1"/>
    <col min="1037" max="1037" width="3.85546875" style="50" customWidth="1"/>
    <col min="1038" max="1038" width="6.5703125" style="50" customWidth="1"/>
    <col min="1039" max="1039" width="3.85546875" style="50" customWidth="1"/>
    <col min="1040" max="1040" width="6.5703125" style="50" customWidth="1"/>
    <col min="1041" max="1041" width="3.85546875" style="50" customWidth="1"/>
    <col min="1042" max="1042" width="6.5703125" style="50" customWidth="1"/>
    <col min="1043" max="1043" width="3.85546875" style="50" customWidth="1"/>
    <col min="1044" max="1280" width="9.140625" style="50"/>
    <col min="1281" max="1281" width="27.140625" style="50" customWidth="1"/>
    <col min="1282" max="1282" width="9" style="50" customWidth="1"/>
    <col min="1283" max="1283" width="6.5703125" style="50" customWidth="1"/>
    <col min="1284" max="1284" width="8.5703125" style="50" customWidth="1"/>
    <col min="1285" max="1285" width="13.85546875" style="50" customWidth="1"/>
    <col min="1286" max="1286" width="6.5703125" style="50" customWidth="1"/>
    <col min="1287" max="1287" width="3.85546875" style="50" customWidth="1"/>
    <col min="1288" max="1288" width="5.42578125" style="50" customWidth="1"/>
    <col min="1289" max="1289" width="3.85546875" style="50" customWidth="1"/>
    <col min="1290" max="1290" width="6.5703125" style="50" customWidth="1"/>
    <col min="1291" max="1291" width="3.85546875" style="50" customWidth="1"/>
    <col min="1292" max="1292" width="6.5703125" style="50" customWidth="1"/>
    <col min="1293" max="1293" width="3.85546875" style="50" customWidth="1"/>
    <col min="1294" max="1294" width="6.5703125" style="50" customWidth="1"/>
    <col min="1295" max="1295" width="3.85546875" style="50" customWidth="1"/>
    <col min="1296" max="1296" width="6.5703125" style="50" customWidth="1"/>
    <col min="1297" max="1297" width="3.85546875" style="50" customWidth="1"/>
    <col min="1298" max="1298" width="6.5703125" style="50" customWidth="1"/>
    <col min="1299" max="1299" width="3.85546875" style="50" customWidth="1"/>
    <col min="1300" max="1536" width="9.140625" style="50"/>
    <col min="1537" max="1537" width="27.140625" style="50" customWidth="1"/>
    <col min="1538" max="1538" width="9" style="50" customWidth="1"/>
    <col min="1539" max="1539" width="6.5703125" style="50" customWidth="1"/>
    <col min="1540" max="1540" width="8.5703125" style="50" customWidth="1"/>
    <col min="1541" max="1541" width="13.85546875" style="50" customWidth="1"/>
    <col min="1542" max="1542" width="6.5703125" style="50" customWidth="1"/>
    <col min="1543" max="1543" width="3.85546875" style="50" customWidth="1"/>
    <col min="1544" max="1544" width="5.42578125" style="50" customWidth="1"/>
    <col min="1545" max="1545" width="3.85546875" style="50" customWidth="1"/>
    <col min="1546" max="1546" width="6.5703125" style="50" customWidth="1"/>
    <col min="1547" max="1547" width="3.85546875" style="50" customWidth="1"/>
    <col min="1548" max="1548" width="6.5703125" style="50" customWidth="1"/>
    <col min="1549" max="1549" width="3.85546875" style="50" customWidth="1"/>
    <col min="1550" max="1550" width="6.5703125" style="50" customWidth="1"/>
    <col min="1551" max="1551" width="3.85546875" style="50" customWidth="1"/>
    <col min="1552" max="1552" width="6.5703125" style="50" customWidth="1"/>
    <col min="1553" max="1553" width="3.85546875" style="50" customWidth="1"/>
    <col min="1554" max="1554" width="6.5703125" style="50" customWidth="1"/>
    <col min="1555" max="1555" width="3.85546875" style="50" customWidth="1"/>
    <col min="1556" max="1792" width="9.140625" style="50"/>
    <col min="1793" max="1793" width="27.140625" style="50" customWidth="1"/>
    <col min="1794" max="1794" width="9" style="50" customWidth="1"/>
    <col min="1795" max="1795" width="6.5703125" style="50" customWidth="1"/>
    <col min="1796" max="1796" width="8.5703125" style="50" customWidth="1"/>
    <col min="1797" max="1797" width="13.85546875" style="50" customWidth="1"/>
    <col min="1798" max="1798" width="6.5703125" style="50" customWidth="1"/>
    <col min="1799" max="1799" width="3.85546875" style="50" customWidth="1"/>
    <col min="1800" max="1800" width="5.42578125" style="50" customWidth="1"/>
    <col min="1801" max="1801" width="3.85546875" style="50" customWidth="1"/>
    <col min="1802" max="1802" width="6.5703125" style="50" customWidth="1"/>
    <col min="1803" max="1803" width="3.85546875" style="50" customWidth="1"/>
    <col min="1804" max="1804" width="6.5703125" style="50" customWidth="1"/>
    <col min="1805" max="1805" width="3.85546875" style="50" customWidth="1"/>
    <col min="1806" max="1806" width="6.5703125" style="50" customWidth="1"/>
    <col min="1807" max="1807" width="3.85546875" style="50" customWidth="1"/>
    <col min="1808" max="1808" width="6.5703125" style="50" customWidth="1"/>
    <col min="1809" max="1809" width="3.85546875" style="50" customWidth="1"/>
    <col min="1810" max="1810" width="6.5703125" style="50" customWidth="1"/>
    <col min="1811" max="1811" width="3.85546875" style="50" customWidth="1"/>
    <col min="1812" max="2048" width="9.140625" style="50"/>
    <col min="2049" max="2049" width="27.140625" style="50" customWidth="1"/>
    <col min="2050" max="2050" width="9" style="50" customWidth="1"/>
    <col min="2051" max="2051" width="6.5703125" style="50" customWidth="1"/>
    <col min="2052" max="2052" width="8.5703125" style="50" customWidth="1"/>
    <col min="2053" max="2053" width="13.85546875" style="50" customWidth="1"/>
    <col min="2054" max="2054" width="6.5703125" style="50" customWidth="1"/>
    <col min="2055" max="2055" width="3.85546875" style="50" customWidth="1"/>
    <col min="2056" max="2056" width="5.42578125" style="50" customWidth="1"/>
    <col min="2057" max="2057" width="3.85546875" style="50" customWidth="1"/>
    <col min="2058" max="2058" width="6.5703125" style="50" customWidth="1"/>
    <col min="2059" max="2059" width="3.85546875" style="50" customWidth="1"/>
    <col min="2060" max="2060" width="6.5703125" style="50" customWidth="1"/>
    <col min="2061" max="2061" width="3.85546875" style="50" customWidth="1"/>
    <col min="2062" max="2062" width="6.5703125" style="50" customWidth="1"/>
    <col min="2063" max="2063" width="3.85546875" style="50" customWidth="1"/>
    <col min="2064" max="2064" width="6.5703125" style="50" customWidth="1"/>
    <col min="2065" max="2065" width="3.85546875" style="50" customWidth="1"/>
    <col min="2066" max="2066" width="6.5703125" style="50" customWidth="1"/>
    <col min="2067" max="2067" width="3.85546875" style="50" customWidth="1"/>
    <col min="2068" max="2304" width="9.140625" style="50"/>
    <col min="2305" max="2305" width="27.140625" style="50" customWidth="1"/>
    <col min="2306" max="2306" width="9" style="50" customWidth="1"/>
    <col min="2307" max="2307" width="6.5703125" style="50" customWidth="1"/>
    <col min="2308" max="2308" width="8.5703125" style="50" customWidth="1"/>
    <col min="2309" max="2309" width="13.85546875" style="50" customWidth="1"/>
    <col min="2310" max="2310" width="6.5703125" style="50" customWidth="1"/>
    <col min="2311" max="2311" width="3.85546875" style="50" customWidth="1"/>
    <col min="2312" max="2312" width="5.42578125" style="50" customWidth="1"/>
    <col min="2313" max="2313" width="3.85546875" style="50" customWidth="1"/>
    <col min="2314" max="2314" width="6.5703125" style="50" customWidth="1"/>
    <col min="2315" max="2315" width="3.85546875" style="50" customWidth="1"/>
    <col min="2316" max="2316" width="6.5703125" style="50" customWidth="1"/>
    <col min="2317" max="2317" width="3.85546875" style="50" customWidth="1"/>
    <col min="2318" max="2318" width="6.5703125" style="50" customWidth="1"/>
    <col min="2319" max="2319" width="3.85546875" style="50" customWidth="1"/>
    <col min="2320" max="2320" width="6.5703125" style="50" customWidth="1"/>
    <col min="2321" max="2321" width="3.85546875" style="50" customWidth="1"/>
    <col min="2322" max="2322" width="6.5703125" style="50" customWidth="1"/>
    <col min="2323" max="2323" width="3.85546875" style="50" customWidth="1"/>
    <col min="2324" max="2560" width="9.140625" style="50"/>
    <col min="2561" max="2561" width="27.140625" style="50" customWidth="1"/>
    <col min="2562" max="2562" width="9" style="50" customWidth="1"/>
    <col min="2563" max="2563" width="6.5703125" style="50" customWidth="1"/>
    <col min="2564" max="2564" width="8.5703125" style="50" customWidth="1"/>
    <col min="2565" max="2565" width="13.85546875" style="50" customWidth="1"/>
    <col min="2566" max="2566" width="6.5703125" style="50" customWidth="1"/>
    <col min="2567" max="2567" width="3.85546875" style="50" customWidth="1"/>
    <col min="2568" max="2568" width="5.42578125" style="50" customWidth="1"/>
    <col min="2569" max="2569" width="3.85546875" style="50" customWidth="1"/>
    <col min="2570" max="2570" width="6.5703125" style="50" customWidth="1"/>
    <col min="2571" max="2571" width="3.85546875" style="50" customWidth="1"/>
    <col min="2572" max="2572" width="6.5703125" style="50" customWidth="1"/>
    <col min="2573" max="2573" width="3.85546875" style="50" customWidth="1"/>
    <col min="2574" max="2574" width="6.5703125" style="50" customWidth="1"/>
    <col min="2575" max="2575" width="3.85546875" style="50" customWidth="1"/>
    <col min="2576" max="2576" width="6.5703125" style="50" customWidth="1"/>
    <col min="2577" max="2577" width="3.85546875" style="50" customWidth="1"/>
    <col min="2578" max="2578" width="6.5703125" style="50" customWidth="1"/>
    <col min="2579" max="2579" width="3.85546875" style="50" customWidth="1"/>
    <col min="2580" max="2816" width="9.140625" style="50"/>
    <col min="2817" max="2817" width="27.140625" style="50" customWidth="1"/>
    <col min="2818" max="2818" width="9" style="50" customWidth="1"/>
    <col min="2819" max="2819" width="6.5703125" style="50" customWidth="1"/>
    <col min="2820" max="2820" width="8.5703125" style="50" customWidth="1"/>
    <col min="2821" max="2821" width="13.85546875" style="50" customWidth="1"/>
    <col min="2822" max="2822" width="6.5703125" style="50" customWidth="1"/>
    <col min="2823" max="2823" width="3.85546875" style="50" customWidth="1"/>
    <col min="2824" max="2824" width="5.42578125" style="50" customWidth="1"/>
    <col min="2825" max="2825" width="3.85546875" style="50" customWidth="1"/>
    <col min="2826" max="2826" width="6.5703125" style="50" customWidth="1"/>
    <col min="2827" max="2827" width="3.85546875" style="50" customWidth="1"/>
    <col min="2828" max="2828" width="6.5703125" style="50" customWidth="1"/>
    <col min="2829" max="2829" width="3.85546875" style="50" customWidth="1"/>
    <col min="2830" max="2830" width="6.5703125" style="50" customWidth="1"/>
    <col min="2831" max="2831" width="3.85546875" style="50" customWidth="1"/>
    <col min="2832" max="2832" width="6.5703125" style="50" customWidth="1"/>
    <col min="2833" max="2833" width="3.85546875" style="50" customWidth="1"/>
    <col min="2834" max="2834" width="6.5703125" style="50" customWidth="1"/>
    <col min="2835" max="2835" width="3.85546875" style="50" customWidth="1"/>
    <col min="2836" max="3072" width="9.140625" style="50"/>
    <col min="3073" max="3073" width="27.140625" style="50" customWidth="1"/>
    <col min="3074" max="3074" width="9" style="50" customWidth="1"/>
    <col min="3075" max="3075" width="6.5703125" style="50" customWidth="1"/>
    <col min="3076" max="3076" width="8.5703125" style="50" customWidth="1"/>
    <col min="3077" max="3077" width="13.85546875" style="50" customWidth="1"/>
    <col min="3078" max="3078" width="6.5703125" style="50" customWidth="1"/>
    <col min="3079" max="3079" width="3.85546875" style="50" customWidth="1"/>
    <col min="3080" max="3080" width="5.42578125" style="50" customWidth="1"/>
    <col min="3081" max="3081" width="3.85546875" style="50" customWidth="1"/>
    <col min="3082" max="3082" width="6.5703125" style="50" customWidth="1"/>
    <col min="3083" max="3083" width="3.85546875" style="50" customWidth="1"/>
    <col min="3084" max="3084" width="6.5703125" style="50" customWidth="1"/>
    <col min="3085" max="3085" width="3.85546875" style="50" customWidth="1"/>
    <col min="3086" max="3086" width="6.5703125" style="50" customWidth="1"/>
    <col min="3087" max="3087" width="3.85546875" style="50" customWidth="1"/>
    <col min="3088" max="3088" width="6.5703125" style="50" customWidth="1"/>
    <col min="3089" max="3089" width="3.85546875" style="50" customWidth="1"/>
    <col min="3090" max="3090" width="6.5703125" style="50" customWidth="1"/>
    <col min="3091" max="3091" width="3.85546875" style="50" customWidth="1"/>
    <col min="3092" max="3328" width="9.140625" style="50"/>
    <col min="3329" max="3329" width="27.140625" style="50" customWidth="1"/>
    <col min="3330" max="3330" width="9" style="50" customWidth="1"/>
    <col min="3331" max="3331" width="6.5703125" style="50" customWidth="1"/>
    <col min="3332" max="3332" width="8.5703125" style="50" customWidth="1"/>
    <col min="3333" max="3333" width="13.85546875" style="50" customWidth="1"/>
    <col min="3334" max="3334" width="6.5703125" style="50" customWidth="1"/>
    <col min="3335" max="3335" width="3.85546875" style="50" customWidth="1"/>
    <col min="3336" max="3336" width="5.42578125" style="50" customWidth="1"/>
    <col min="3337" max="3337" width="3.85546875" style="50" customWidth="1"/>
    <col min="3338" max="3338" width="6.5703125" style="50" customWidth="1"/>
    <col min="3339" max="3339" width="3.85546875" style="50" customWidth="1"/>
    <col min="3340" max="3340" width="6.5703125" style="50" customWidth="1"/>
    <col min="3341" max="3341" width="3.85546875" style="50" customWidth="1"/>
    <col min="3342" max="3342" width="6.5703125" style="50" customWidth="1"/>
    <col min="3343" max="3343" width="3.85546875" style="50" customWidth="1"/>
    <col min="3344" max="3344" width="6.5703125" style="50" customWidth="1"/>
    <col min="3345" max="3345" width="3.85546875" style="50" customWidth="1"/>
    <col min="3346" max="3346" width="6.5703125" style="50" customWidth="1"/>
    <col min="3347" max="3347" width="3.85546875" style="50" customWidth="1"/>
    <col min="3348" max="3584" width="9.140625" style="50"/>
    <col min="3585" max="3585" width="27.140625" style="50" customWidth="1"/>
    <col min="3586" max="3586" width="9" style="50" customWidth="1"/>
    <col min="3587" max="3587" width="6.5703125" style="50" customWidth="1"/>
    <col min="3588" max="3588" width="8.5703125" style="50" customWidth="1"/>
    <col min="3589" max="3589" width="13.85546875" style="50" customWidth="1"/>
    <col min="3590" max="3590" width="6.5703125" style="50" customWidth="1"/>
    <col min="3591" max="3591" width="3.85546875" style="50" customWidth="1"/>
    <col min="3592" max="3592" width="5.42578125" style="50" customWidth="1"/>
    <col min="3593" max="3593" width="3.85546875" style="50" customWidth="1"/>
    <col min="3594" max="3594" width="6.5703125" style="50" customWidth="1"/>
    <col min="3595" max="3595" width="3.85546875" style="50" customWidth="1"/>
    <col min="3596" max="3596" width="6.5703125" style="50" customWidth="1"/>
    <col min="3597" max="3597" width="3.85546875" style="50" customWidth="1"/>
    <col min="3598" max="3598" width="6.5703125" style="50" customWidth="1"/>
    <col min="3599" max="3599" width="3.85546875" style="50" customWidth="1"/>
    <col min="3600" max="3600" width="6.5703125" style="50" customWidth="1"/>
    <col min="3601" max="3601" width="3.85546875" style="50" customWidth="1"/>
    <col min="3602" max="3602" width="6.5703125" style="50" customWidth="1"/>
    <col min="3603" max="3603" width="3.85546875" style="50" customWidth="1"/>
    <col min="3604" max="3840" width="9.140625" style="50"/>
    <col min="3841" max="3841" width="27.140625" style="50" customWidth="1"/>
    <col min="3842" max="3842" width="9" style="50" customWidth="1"/>
    <col min="3843" max="3843" width="6.5703125" style="50" customWidth="1"/>
    <col min="3844" max="3844" width="8.5703125" style="50" customWidth="1"/>
    <col min="3845" max="3845" width="13.85546875" style="50" customWidth="1"/>
    <col min="3846" max="3846" width="6.5703125" style="50" customWidth="1"/>
    <col min="3847" max="3847" width="3.85546875" style="50" customWidth="1"/>
    <col min="3848" max="3848" width="5.42578125" style="50" customWidth="1"/>
    <col min="3849" max="3849" width="3.85546875" style="50" customWidth="1"/>
    <col min="3850" max="3850" width="6.5703125" style="50" customWidth="1"/>
    <col min="3851" max="3851" width="3.85546875" style="50" customWidth="1"/>
    <col min="3852" max="3852" width="6.5703125" style="50" customWidth="1"/>
    <col min="3853" max="3853" width="3.85546875" style="50" customWidth="1"/>
    <col min="3854" max="3854" width="6.5703125" style="50" customWidth="1"/>
    <col min="3855" max="3855" width="3.85546875" style="50" customWidth="1"/>
    <col min="3856" max="3856" width="6.5703125" style="50" customWidth="1"/>
    <col min="3857" max="3857" width="3.85546875" style="50" customWidth="1"/>
    <col min="3858" max="3858" width="6.5703125" style="50" customWidth="1"/>
    <col min="3859" max="3859" width="3.85546875" style="50" customWidth="1"/>
    <col min="3860" max="4096" width="9.140625" style="50"/>
    <col min="4097" max="4097" width="27.140625" style="50" customWidth="1"/>
    <col min="4098" max="4098" width="9" style="50" customWidth="1"/>
    <col min="4099" max="4099" width="6.5703125" style="50" customWidth="1"/>
    <col min="4100" max="4100" width="8.5703125" style="50" customWidth="1"/>
    <col min="4101" max="4101" width="13.85546875" style="50" customWidth="1"/>
    <col min="4102" max="4102" width="6.5703125" style="50" customWidth="1"/>
    <col min="4103" max="4103" width="3.85546875" style="50" customWidth="1"/>
    <col min="4104" max="4104" width="5.42578125" style="50" customWidth="1"/>
    <col min="4105" max="4105" width="3.85546875" style="50" customWidth="1"/>
    <col min="4106" max="4106" width="6.5703125" style="50" customWidth="1"/>
    <col min="4107" max="4107" width="3.85546875" style="50" customWidth="1"/>
    <col min="4108" max="4108" width="6.5703125" style="50" customWidth="1"/>
    <col min="4109" max="4109" width="3.85546875" style="50" customWidth="1"/>
    <col min="4110" max="4110" width="6.5703125" style="50" customWidth="1"/>
    <col min="4111" max="4111" width="3.85546875" style="50" customWidth="1"/>
    <col min="4112" max="4112" width="6.5703125" style="50" customWidth="1"/>
    <col min="4113" max="4113" width="3.85546875" style="50" customWidth="1"/>
    <col min="4114" max="4114" width="6.5703125" style="50" customWidth="1"/>
    <col min="4115" max="4115" width="3.85546875" style="50" customWidth="1"/>
    <col min="4116" max="4352" width="9.140625" style="50"/>
    <col min="4353" max="4353" width="27.140625" style="50" customWidth="1"/>
    <col min="4354" max="4354" width="9" style="50" customWidth="1"/>
    <col min="4355" max="4355" width="6.5703125" style="50" customWidth="1"/>
    <col min="4356" max="4356" width="8.5703125" style="50" customWidth="1"/>
    <col min="4357" max="4357" width="13.85546875" style="50" customWidth="1"/>
    <col min="4358" max="4358" width="6.5703125" style="50" customWidth="1"/>
    <col min="4359" max="4359" width="3.85546875" style="50" customWidth="1"/>
    <col min="4360" max="4360" width="5.42578125" style="50" customWidth="1"/>
    <col min="4361" max="4361" width="3.85546875" style="50" customWidth="1"/>
    <col min="4362" max="4362" width="6.5703125" style="50" customWidth="1"/>
    <col min="4363" max="4363" width="3.85546875" style="50" customWidth="1"/>
    <col min="4364" max="4364" width="6.5703125" style="50" customWidth="1"/>
    <col min="4365" max="4365" width="3.85546875" style="50" customWidth="1"/>
    <col min="4366" max="4366" width="6.5703125" style="50" customWidth="1"/>
    <col min="4367" max="4367" width="3.85546875" style="50" customWidth="1"/>
    <col min="4368" max="4368" width="6.5703125" style="50" customWidth="1"/>
    <col min="4369" max="4369" width="3.85546875" style="50" customWidth="1"/>
    <col min="4370" max="4370" width="6.5703125" style="50" customWidth="1"/>
    <col min="4371" max="4371" width="3.85546875" style="50" customWidth="1"/>
    <col min="4372" max="4608" width="9.140625" style="50"/>
    <col min="4609" max="4609" width="27.140625" style="50" customWidth="1"/>
    <col min="4610" max="4610" width="9" style="50" customWidth="1"/>
    <col min="4611" max="4611" width="6.5703125" style="50" customWidth="1"/>
    <col min="4612" max="4612" width="8.5703125" style="50" customWidth="1"/>
    <col min="4613" max="4613" width="13.85546875" style="50" customWidth="1"/>
    <col min="4614" max="4614" width="6.5703125" style="50" customWidth="1"/>
    <col min="4615" max="4615" width="3.85546875" style="50" customWidth="1"/>
    <col min="4616" max="4616" width="5.42578125" style="50" customWidth="1"/>
    <col min="4617" max="4617" width="3.85546875" style="50" customWidth="1"/>
    <col min="4618" max="4618" width="6.5703125" style="50" customWidth="1"/>
    <col min="4619" max="4619" width="3.85546875" style="50" customWidth="1"/>
    <col min="4620" max="4620" width="6.5703125" style="50" customWidth="1"/>
    <col min="4621" max="4621" width="3.85546875" style="50" customWidth="1"/>
    <col min="4622" max="4622" width="6.5703125" style="50" customWidth="1"/>
    <col min="4623" max="4623" width="3.85546875" style="50" customWidth="1"/>
    <col min="4624" max="4624" width="6.5703125" style="50" customWidth="1"/>
    <col min="4625" max="4625" width="3.85546875" style="50" customWidth="1"/>
    <col min="4626" max="4626" width="6.5703125" style="50" customWidth="1"/>
    <col min="4627" max="4627" width="3.85546875" style="50" customWidth="1"/>
    <col min="4628" max="4864" width="9.140625" style="50"/>
    <col min="4865" max="4865" width="27.140625" style="50" customWidth="1"/>
    <col min="4866" max="4866" width="9" style="50" customWidth="1"/>
    <col min="4867" max="4867" width="6.5703125" style="50" customWidth="1"/>
    <col min="4868" max="4868" width="8.5703125" style="50" customWidth="1"/>
    <col min="4869" max="4869" width="13.85546875" style="50" customWidth="1"/>
    <col min="4870" max="4870" width="6.5703125" style="50" customWidth="1"/>
    <col min="4871" max="4871" width="3.85546875" style="50" customWidth="1"/>
    <col min="4872" max="4872" width="5.42578125" style="50" customWidth="1"/>
    <col min="4873" max="4873" width="3.85546875" style="50" customWidth="1"/>
    <col min="4874" max="4874" width="6.5703125" style="50" customWidth="1"/>
    <col min="4875" max="4875" width="3.85546875" style="50" customWidth="1"/>
    <col min="4876" max="4876" width="6.5703125" style="50" customWidth="1"/>
    <col min="4877" max="4877" width="3.85546875" style="50" customWidth="1"/>
    <col min="4878" max="4878" width="6.5703125" style="50" customWidth="1"/>
    <col min="4879" max="4879" width="3.85546875" style="50" customWidth="1"/>
    <col min="4880" max="4880" width="6.5703125" style="50" customWidth="1"/>
    <col min="4881" max="4881" width="3.85546875" style="50" customWidth="1"/>
    <col min="4882" max="4882" width="6.5703125" style="50" customWidth="1"/>
    <col min="4883" max="4883" width="3.85546875" style="50" customWidth="1"/>
    <col min="4884" max="5120" width="9.140625" style="50"/>
    <col min="5121" max="5121" width="27.140625" style="50" customWidth="1"/>
    <col min="5122" max="5122" width="9" style="50" customWidth="1"/>
    <col min="5123" max="5123" width="6.5703125" style="50" customWidth="1"/>
    <col min="5124" max="5124" width="8.5703125" style="50" customWidth="1"/>
    <col min="5125" max="5125" width="13.85546875" style="50" customWidth="1"/>
    <col min="5126" max="5126" width="6.5703125" style="50" customWidth="1"/>
    <col min="5127" max="5127" width="3.85546875" style="50" customWidth="1"/>
    <col min="5128" max="5128" width="5.42578125" style="50" customWidth="1"/>
    <col min="5129" max="5129" width="3.85546875" style="50" customWidth="1"/>
    <col min="5130" max="5130" width="6.5703125" style="50" customWidth="1"/>
    <col min="5131" max="5131" width="3.85546875" style="50" customWidth="1"/>
    <col min="5132" max="5132" width="6.5703125" style="50" customWidth="1"/>
    <col min="5133" max="5133" width="3.85546875" style="50" customWidth="1"/>
    <col min="5134" max="5134" width="6.5703125" style="50" customWidth="1"/>
    <col min="5135" max="5135" width="3.85546875" style="50" customWidth="1"/>
    <col min="5136" max="5136" width="6.5703125" style="50" customWidth="1"/>
    <col min="5137" max="5137" width="3.85546875" style="50" customWidth="1"/>
    <col min="5138" max="5138" width="6.5703125" style="50" customWidth="1"/>
    <col min="5139" max="5139" width="3.85546875" style="50" customWidth="1"/>
    <col min="5140" max="5376" width="9.140625" style="50"/>
    <col min="5377" max="5377" width="27.140625" style="50" customWidth="1"/>
    <col min="5378" max="5378" width="9" style="50" customWidth="1"/>
    <col min="5379" max="5379" width="6.5703125" style="50" customWidth="1"/>
    <col min="5380" max="5380" width="8.5703125" style="50" customWidth="1"/>
    <col min="5381" max="5381" width="13.85546875" style="50" customWidth="1"/>
    <col min="5382" max="5382" width="6.5703125" style="50" customWidth="1"/>
    <col min="5383" max="5383" width="3.85546875" style="50" customWidth="1"/>
    <col min="5384" max="5384" width="5.42578125" style="50" customWidth="1"/>
    <col min="5385" max="5385" width="3.85546875" style="50" customWidth="1"/>
    <col min="5386" max="5386" width="6.5703125" style="50" customWidth="1"/>
    <col min="5387" max="5387" width="3.85546875" style="50" customWidth="1"/>
    <col min="5388" max="5388" width="6.5703125" style="50" customWidth="1"/>
    <col min="5389" max="5389" width="3.85546875" style="50" customWidth="1"/>
    <col min="5390" max="5390" width="6.5703125" style="50" customWidth="1"/>
    <col min="5391" max="5391" width="3.85546875" style="50" customWidth="1"/>
    <col min="5392" max="5392" width="6.5703125" style="50" customWidth="1"/>
    <col min="5393" max="5393" width="3.85546875" style="50" customWidth="1"/>
    <col min="5394" max="5394" width="6.5703125" style="50" customWidth="1"/>
    <col min="5395" max="5395" width="3.85546875" style="50" customWidth="1"/>
    <col min="5396" max="5632" width="9.140625" style="50"/>
    <col min="5633" max="5633" width="27.140625" style="50" customWidth="1"/>
    <col min="5634" max="5634" width="9" style="50" customWidth="1"/>
    <col min="5635" max="5635" width="6.5703125" style="50" customWidth="1"/>
    <col min="5636" max="5636" width="8.5703125" style="50" customWidth="1"/>
    <col min="5637" max="5637" width="13.85546875" style="50" customWidth="1"/>
    <col min="5638" max="5638" width="6.5703125" style="50" customWidth="1"/>
    <col min="5639" max="5639" width="3.85546875" style="50" customWidth="1"/>
    <col min="5640" max="5640" width="5.42578125" style="50" customWidth="1"/>
    <col min="5641" max="5641" width="3.85546875" style="50" customWidth="1"/>
    <col min="5642" max="5642" width="6.5703125" style="50" customWidth="1"/>
    <col min="5643" max="5643" width="3.85546875" style="50" customWidth="1"/>
    <col min="5644" max="5644" width="6.5703125" style="50" customWidth="1"/>
    <col min="5645" max="5645" width="3.85546875" style="50" customWidth="1"/>
    <col min="5646" max="5646" width="6.5703125" style="50" customWidth="1"/>
    <col min="5647" max="5647" width="3.85546875" style="50" customWidth="1"/>
    <col min="5648" max="5648" width="6.5703125" style="50" customWidth="1"/>
    <col min="5649" max="5649" width="3.85546875" style="50" customWidth="1"/>
    <col min="5650" max="5650" width="6.5703125" style="50" customWidth="1"/>
    <col min="5651" max="5651" width="3.85546875" style="50" customWidth="1"/>
    <col min="5652" max="5888" width="9.140625" style="50"/>
    <col min="5889" max="5889" width="27.140625" style="50" customWidth="1"/>
    <col min="5890" max="5890" width="9" style="50" customWidth="1"/>
    <col min="5891" max="5891" width="6.5703125" style="50" customWidth="1"/>
    <col min="5892" max="5892" width="8.5703125" style="50" customWidth="1"/>
    <col min="5893" max="5893" width="13.85546875" style="50" customWidth="1"/>
    <col min="5894" max="5894" width="6.5703125" style="50" customWidth="1"/>
    <col min="5895" max="5895" width="3.85546875" style="50" customWidth="1"/>
    <col min="5896" max="5896" width="5.42578125" style="50" customWidth="1"/>
    <col min="5897" max="5897" width="3.85546875" style="50" customWidth="1"/>
    <col min="5898" max="5898" width="6.5703125" style="50" customWidth="1"/>
    <col min="5899" max="5899" width="3.85546875" style="50" customWidth="1"/>
    <col min="5900" max="5900" width="6.5703125" style="50" customWidth="1"/>
    <col min="5901" max="5901" width="3.85546875" style="50" customWidth="1"/>
    <col min="5902" max="5902" width="6.5703125" style="50" customWidth="1"/>
    <col min="5903" max="5903" width="3.85546875" style="50" customWidth="1"/>
    <col min="5904" max="5904" width="6.5703125" style="50" customWidth="1"/>
    <col min="5905" max="5905" width="3.85546875" style="50" customWidth="1"/>
    <col min="5906" max="5906" width="6.5703125" style="50" customWidth="1"/>
    <col min="5907" max="5907" width="3.85546875" style="50" customWidth="1"/>
    <col min="5908" max="6144" width="9.140625" style="50"/>
    <col min="6145" max="6145" width="27.140625" style="50" customWidth="1"/>
    <col min="6146" max="6146" width="9" style="50" customWidth="1"/>
    <col min="6147" max="6147" width="6.5703125" style="50" customWidth="1"/>
    <col min="6148" max="6148" width="8.5703125" style="50" customWidth="1"/>
    <col min="6149" max="6149" width="13.85546875" style="50" customWidth="1"/>
    <col min="6150" max="6150" width="6.5703125" style="50" customWidth="1"/>
    <col min="6151" max="6151" width="3.85546875" style="50" customWidth="1"/>
    <col min="6152" max="6152" width="5.42578125" style="50" customWidth="1"/>
    <col min="6153" max="6153" width="3.85546875" style="50" customWidth="1"/>
    <col min="6154" max="6154" width="6.5703125" style="50" customWidth="1"/>
    <col min="6155" max="6155" width="3.85546875" style="50" customWidth="1"/>
    <col min="6156" max="6156" width="6.5703125" style="50" customWidth="1"/>
    <col min="6157" max="6157" width="3.85546875" style="50" customWidth="1"/>
    <col min="6158" max="6158" width="6.5703125" style="50" customWidth="1"/>
    <col min="6159" max="6159" width="3.85546875" style="50" customWidth="1"/>
    <col min="6160" max="6160" width="6.5703125" style="50" customWidth="1"/>
    <col min="6161" max="6161" width="3.85546875" style="50" customWidth="1"/>
    <col min="6162" max="6162" width="6.5703125" style="50" customWidth="1"/>
    <col min="6163" max="6163" width="3.85546875" style="50" customWidth="1"/>
    <col min="6164" max="6400" width="9.140625" style="50"/>
    <col min="6401" max="6401" width="27.140625" style="50" customWidth="1"/>
    <col min="6402" max="6402" width="9" style="50" customWidth="1"/>
    <col min="6403" max="6403" width="6.5703125" style="50" customWidth="1"/>
    <col min="6404" max="6404" width="8.5703125" style="50" customWidth="1"/>
    <col min="6405" max="6405" width="13.85546875" style="50" customWidth="1"/>
    <col min="6406" max="6406" width="6.5703125" style="50" customWidth="1"/>
    <col min="6407" max="6407" width="3.85546875" style="50" customWidth="1"/>
    <col min="6408" max="6408" width="5.42578125" style="50" customWidth="1"/>
    <col min="6409" max="6409" width="3.85546875" style="50" customWidth="1"/>
    <col min="6410" max="6410" width="6.5703125" style="50" customWidth="1"/>
    <col min="6411" max="6411" width="3.85546875" style="50" customWidth="1"/>
    <col min="6412" max="6412" width="6.5703125" style="50" customWidth="1"/>
    <col min="6413" max="6413" width="3.85546875" style="50" customWidth="1"/>
    <col min="6414" max="6414" width="6.5703125" style="50" customWidth="1"/>
    <col min="6415" max="6415" width="3.85546875" style="50" customWidth="1"/>
    <col min="6416" max="6416" width="6.5703125" style="50" customWidth="1"/>
    <col min="6417" max="6417" width="3.85546875" style="50" customWidth="1"/>
    <col min="6418" max="6418" width="6.5703125" style="50" customWidth="1"/>
    <col min="6419" max="6419" width="3.85546875" style="50" customWidth="1"/>
    <col min="6420" max="6656" width="9.140625" style="50"/>
    <col min="6657" max="6657" width="27.140625" style="50" customWidth="1"/>
    <col min="6658" max="6658" width="9" style="50" customWidth="1"/>
    <col min="6659" max="6659" width="6.5703125" style="50" customWidth="1"/>
    <col min="6660" max="6660" width="8.5703125" style="50" customWidth="1"/>
    <col min="6661" max="6661" width="13.85546875" style="50" customWidth="1"/>
    <col min="6662" max="6662" width="6.5703125" style="50" customWidth="1"/>
    <col min="6663" max="6663" width="3.85546875" style="50" customWidth="1"/>
    <col min="6664" max="6664" width="5.42578125" style="50" customWidth="1"/>
    <col min="6665" max="6665" width="3.85546875" style="50" customWidth="1"/>
    <col min="6666" max="6666" width="6.5703125" style="50" customWidth="1"/>
    <col min="6667" max="6667" width="3.85546875" style="50" customWidth="1"/>
    <col min="6668" max="6668" width="6.5703125" style="50" customWidth="1"/>
    <col min="6669" max="6669" width="3.85546875" style="50" customWidth="1"/>
    <col min="6670" max="6670" width="6.5703125" style="50" customWidth="1"/>
    <col min="6671" max="6671" width="3.85546875" style="50" customWidth="1"/>
    <col min="6672" max="6672" width="6.5703125" style="50" customWidth="1"/>
    <col min="6673" max="6673" width="3.85546875" style="50" customWidth="1"/>
    <col min="6674" max="6674" width="6.5703125" style="50" customWidth="1"/>
    <col min="6675" max="6675" width="3.85546875" style="50" customWidth="1"/>
    <col min="6676" max="6912" width="9.140625" style="50"/>
    <col min="6913" max="6913" width="27.140625" style="50" customWidth="1"/>
    <col min="6914" max="6914" width="9" style="50" customWidth="1"/>
    <col min="6915" max="6915" width="6.5703125" style="50" customWidth="1"/>
    <col min="6916" max="6916" width="8.5703125" style="50" customWidth="1"/>
    <col min="6917" max="6917" width="13.85546875" style="50" customWidth="1"/>
    <col min="6918" max="6918" width="6.5703125" style="50" customWidth="1"/>
    <col min="6919" max="6919" width="3.85546875" style="50" customWidth="1"/>
    <col min="6920" max="6920" width="5.42578125" style="50" customWidth="1"/>
    <col min="6921" max="6921" width="3.85546875" style="50" customWidth="1"/>
    <col min="6922" max="6922" width="6.5703125" style="50" customWidth="1"/>
    <col min="6923" max="6923" width="3.85546875" style="50" customWidth="1"/>
    <col min="6924" max="6924" width="6.5703125" style="50" customWidth="1"/>
    <col min="6925" max="6925" width="3.85546875" style="50" customWidth="1"/>
    <col min="6926" max="6926" width="6.5703125" style="50" customWidth="1"/>
    <col min="6927" max="6927" width="3.85546875" style="50" customWidth="1"/>
    <col min="6928" max="6928" width="6.5703125" style="50" customWidth="1"/>
    <col min="6929" max="6929" width="3.85546875" style="50" customWidth="1"/>
    <col min="6930" max="6930" width="6.5703125" style="50" customWidth="1"/>
    <col min="6931" max="6931" width="3.85546875" style="50" customWidth="1"/>
    <col min="6932" max="7168" width="9.140625" style="50"/>
    <col min="7169" max="7169" width="27.140625" style="50" customWidth="1"/>
    <col min="7170" max="7170" width="9" style="50" customWidth="1"/>
    <col min="7171" max="7171" width="6.5703125" style="50" customWidth="1"/>
    <col min="7172" max="7172" width="8.5703125" style="50" customWidth="1"/>
    <col min="7173" max="7173" width="13.85546875" style="50" customWidth="1"/>
    <col min="7174" max="7174" width="6.5703125" style="50" customWidth="1"/>
    <col min="7175" max="7175" width="3.85546875" style="50" customWidth="1"/>
    <col min="7176" max="7176" width="5.42578125" style="50" customWidth="1"/>
    <col min="7177" max="7177" width="3.85546875" style="50" customWidth="1"/>
    <col min="7178" max="7178" width="6.5703125" style="50" customWidth="1"/>
    <col min="7179" max="7179" width="3.85546875" style="50" customWidth="1"/>
    <col min="7180" max="7180" width="6.5703125" style="50" customWidth="1"/>
    <col min="7181" max="7181" width="3.85546875" style="50" customWidth="1"/>
    <col min="7182" max="7182" width="6.5703125" style="50" customWidth="1"/>
    <col min="7183" max="7183" width="3.85546875" style="50" customWidth="1"/>
    <col min="7184" max="7184" width="6.5703125" style="50" customWidth="1"/>
    <col min="7185" max="7185" width="3.85546875" style="50" customWidth="1"/>
    <col min="7186" max="7186" width="6.5703125" style="50" customWidth="1"/>
    <col min="7187" max="7187" width="3.85546875" style="50" customWidth="1"/>
    <col min="7188" max="7424" width="9.140625" style="50"/>
    <col min="7425" max="7425" width="27.140625" style="50" customWidth="1"/>
    <col min="7426" max="7426" width="9" style="50" customWidth="1"/>
    <col min="7427" max="7427" width="6.5703125" style="50" customWidth="1"/>
    <col min="7428" max="7428" width="8.5703125" style="50" customWidth="1"/>
    <col min="7429" max="7429" width="13.85546875" style="50" customWidth="1"/>
    <col min="7430" max="7430" width="6.5703125" style="50" customWidth="1"/>
    <col min="7431" max="7431" width="3.85546875" style="50" customWidth="1"/>
    <col min="7432" max="7432" width="5.42578125" style="50" customWidth="1"/>
    <col min="7433" max="7433" width="3.85546875" style="50" customWidth="1"/>
    <col min="7434" max="7434" width="6.5703125" style="50" customWidth="1"/>
    <col min="7435" max="7435" width="3.85546875" style="50" customWidth="1"/>
    <col min="7436" max="7436" width="6.5703125" style="50" customWidth="1"/>
    <col min="7437" max="7437" width="3.85546875" style="50" customWidth="1"/>
    <col min="7438" max="7438" width="6.5703125" style="50" customWidth="1"/>
    <col min="7439" max="7439" width="3.85546875" style="50" customWidth="1"/>
    <col min="7440" max="7440" width="6.5703125" style="50" customWidth="1"/>
    <col min="7441" max="7441" width="3.85546875" style="50" customWidth="1"/>
    <col min="7442" max="7442" width="6.5703125" style="50" customWidth="1"/>
    <col min="7443" max="7443" width="3.85546875" style="50" customWidth="1"/>
    <col min="7444" max="7680" width="9.140625" style="50"/>
    <col min="7681" max="7681" width="27.140625" style="50" customWidth="1"/>
    <col min="7682" max="7682" width="9" style="50" customWidth="1"/>
    <col min="7683" max="7683" width="6.5703125" style="50" customWidth="1"/>
    <col min="7684" max="7684" width="8.5703125" style="50" customWidth="1"/>
    <col min="7685" max="7685" width="13.85546875" style="50" customWidth="1"/>
    <col min="7686" max="7686" width="6.5703125" style="50" customWidth="1"/>
    <col min="7687" max="7687" width="3.85546875" style="50" customWidth="1"/>
    <col min="7688" max="7688" width="5.42578125" style="50" customWidth="1"/>
    <col min="7689" max="7689" width="3.85546875" style="50" customWidth="1"/>
    <col min="7690" max="7690" width="6.5703125" style="50" customWidth="1"/>
    <col min="7691" max="7691" width="3.85546875" style="50" customWidth="1"/>
    <col min="7692" max="7692" width="6.5703125" style="50" customWidth="1"/>
    <col min="7693" max="7693" width="3.85546875" style="50" customWidth="1"/>
    <col min="7694" max="7694" width="6.5703125" style="50" customWidth="1"/>
    <col min="7695" max="7695" width="3.85546875" style="50" customWidth="1"/>
    <col min="7696" max="7696" width="6.5703125" style="50" customWidth="1"/>
    <col min="7697" max="7697" width="3.85546875" style="50" customWidth="1"/>
    <col min="7698" max="7698" width="6.5703125" style="50" customWidth="1"/>
    <col min="7699" max="7699" width="3.85546875" style="50" customWidth="1"/>
    <col min="7700" max="7936" width="9.140625" style="50"/>
    <col min="7937" max="7937" width="27.140625" style="50" customWidth="1"/>
    <col min="7938" max="7938" width="9" style="50" customWidth="1"/>
    <col min="7939" max="7939" width="6.5703125" style="50" customWidth="1"/>
    <col min="7940" max="7940" width="8.5703125" style="50" customWidth="1"/>
    <col min="7941" max="7941" width="13.85546875" style="50" customWidth="1"/>
    <col min="7942" max="7942" width="6.5703125" style="50" customWidth="1"/>
    <col min="7943" max="7943" width="3.85546875" style="50" customWidth="1"/>
    <col min="7944" max="7944" width="5.42578125" style="50" customWidth="1"/>
    <col min="7945" max="7945" width="3.85546875" style="50" customWidth="1"/>
    <col min="7946" max="7946" width="6.5703125" style="50" customWidth="1"/>
    <col min="7947" max="7947" width="3.85546875" style="50" customWidth="1"/>
    <col min="7948" max="7948" width="6.5703125" style="50" customWidth="1"/>
    <col min="7949" max="7949" width="3.85546875" style="50" customWidth="1"/>
    <col min="7950" max="7950" width="6.5703125" style="50" customWidth="1"/>
    <col min="7951" max="7951" width="3.85546875" style="50" customWidth="1"/>
    <col min="7952" max="7952" width="6.5703125" style="50" customWidth="1"/>
    <col min="7953" max="7953" width="3.85546875" style="50" customWidth="1"/>
    <col min="7954" max="7954" width="6.5703125" style="50" customWidth="1"/>
    <col min="7955" max="7955" width="3.85546875" style="50" customWidth="1"/>
    <col min="7956" max="8192" width="9.140625" style="50"/>
    <col min="8193" max="8193" width="27.140625" style="50" customWidth="1"/>
    <col min="8194" max="8194" width="9" style="50" customWidth="1"/>
    <col min="8195" max="8195" width="6.5703125" style="50" customWidth="1"/>
    <col min="8196" max="8196" width="8.5703125" style="50" customWidth="1"/>
    <col min="8197" max="8197" width="13.85546875" style="50" customWidth="1"/>
    <col min="8198" max="8198" width="6.5703125" style="50" customWidth="1"/>
    <col min="8199" max="8199" width="3.85546875" style="50" customWidth="1"/>
    <col min="8200" max="8200" width="5.42578125" style="50" customWidth="1"/>
    <col min="8201" max="8201" width="3.85546875" style="50" customWidth="1"/>
    <col min="8202" max="8202" width="6.5703125" style="50" customWidth="1"/>
    <col min="8203" max="8203" width="3.85546875" style="50" customWidth="1"/>
    <col min="8204" max="8204" width="6.5703125" style="50" customWidth="1"/>
    <col min="8205" max="8205" width="3.85546875" style="50" customWidth="1"/>
    <col min="8206" max="8206" width="6.5703125" style="50" customWidth="1"/>
    <col min="8207" max="8207" width="3.85546875" style="50" customWidth="1"/>
    <col min="8208" max="8208" width="6.5703125" style="50" customWidth="1"/>
    <col min="8209" max="8209" width="3.85546875" style="50" customWidth="1"/>
    <col min="8210" max="8210" width="6.5703125" style="50" customWidth="1"/>
    <col min="8211" max="8211" width="3.85546875" style="50" customWidth="1"/>
    <col min="8212" max="8448" width="9.140625" style="50"/>
    <col min="8449" max="8449" width="27.140625" style="50" customWidth="1"/>
    <col min="8450" max="8450" width="9" style="50" customWidth="1"/>
    <col min="8451" max="8451" width="6.5703125" style="50" customWidth="1"/>
    <col min="8452" max="8452" width="8.5703125" style="50" customWidth="1"/>
    <col min="8453" max="8453" width="13.85546875" style="50" customWidth="1"/>
    <col min="8454" max="8454" width="6.5703125" style="50" customWidth="1"/>
    <col min="8455" max="8455" width="3.85546875" style="50" customWidth="1"/>
    <col min="8456" max="8456" width="5.42578125" style="50" customWidth="1"/>
    <col min="8457" max="8457" width="3.85546875" style="50" customWidth="1"/>
    <col min="8458" max="8458" width="6.5703125" style="50" customWidth="1"/>
    <col min="8459" max="8459" width="3.85546875" style="50" customWidth="1"/>
    <col min="8460" max="8460" width="6.5703125" style="50" customWidth="1"/>
    <col min="8461" max="8461" width="3.85546875" style="50" customWidth="1"/>
    <col min="8462" max="8462" width="6.5703125" style="50" customWidth="1"/>
    <col min="8463" max="8463" width="3.85546875" style="50" customWidth="1"/>
    <col min="8464" max="8464" width="6.5703125" style="50" customWidth="1"/>
    <col min="8465" max="8465" width="3.85546875" style="50" customWidth="1"/>
    <col min="8466" max="8466" width="6.5703125" style="50" customWidth="1"/>
    <col min="8467" max="8467" width="3.85546875" style="50" customWidth="1"/>
    <col min="8468" max="8704" width="9.140625" style="50"/>
    <col min="8705" max="8705" width="27.140625" style="50" customWidth="1"/>
    <col min="8706" max="8706" width="9" style="50" customWidth="1"/>
    <col min="8707" max="8707" width="6.5703125" style="50" customWidth="1"/>
    <col min="8708" max="8708" width="8.5703125" style="50" customWidth="1"/>
    <col min="8709" max="8709" width="13.85546875" style="50" customWidth="1"/>
    <col min="8710" max="8710" width="6.5703125" style="50" customWidth="1"/>
    <col min="8711" max="8711" width="3.85546875" style="50" customWidth="1"/>
    <col min="8712" max="8712" width="5.42578125" style="50" customWidth="1"/>
    <col min="8713" max="8713" width="3.85546875" style="50" customWidth="1"/>
    <col min="8714" max="8714" width="6.5703125" style="50" customWidth="1"/>
    <col min="8715" max="8715" width="3.85546875" style="50" customWidth="1"/>
    <col min="8716" max="8716" width="6.5703125" style="50" customWidth="1"/>
    <col min="8717" max="8717" width="3.85546875" style="50" customWidth="1"/>
    <col min="8718" max="8718" width="6.5703125" style="50" customWidth="1"/>
    <col min="8719" max="8719" width="3.85546875" style="50" customWidth="1"/>
    <col min="8720" max="8720" width="6.5703125" style="50" customWidth="1"/>
    <col min="8721" max="8721" width="3.85546875" style="50" customWidth="1"/>
    <col min="8722" max="8722" width="6.5703125" style="50" customWidth="1"/>
    <col min="8723" max="8723" width="3.85546875" style="50" customWidth="1"/>
    <col min="8724" max="8960" width="9.140625" style="50"/>
    <col min="8961" max="8961" width="27.140625" style="50" customWidth="1"/>
    <col min="8962" max="8962" width="9" style="50" customWidth="1"/>
    <col min="8963" max="8963" width="6.5703125" style="50" customWidth="1"/>
    <col min="8964" max="8964" width="8.5703125" style="50" customWidth="1"/>
    <col min="8965" max="8965" width="13.85546875" style="50" customWidth="1"/>
    <col min="8966" max="8966" width="6.5703125" style="50" customWidth="1"/>
    <col min="8967" max="8967" width="3.85546875" style="50" customWidth="1"/>
    <col min="8968" max="8968" width="5.42578125" style="50" customWidth="1"/>
    <col min="8969" max="8969" width="3.85546875" style="50" customWidth="1"/>
    <col min="8970" max="8970" width="6.5703125" style="50" customWidth="1"/>
    <col min="8971" max="8971" width="3.85546875" style="50" customWidth="1"/>
    <col min="8972" max="8972" width="6.5703125" style="50" customWidth="1"/>
    <col min="8973" max="8973" width="3.85546875" style="50" customWidth="1"/>
    <col min="8974" max="8974" width="6.5703125" style="50" customWidth="1"/>
    <col min="8975" max="8975" width="3.85546875" style="50" customWidth="1"/>
    <col min="8976" max="8976" width="6.5703125" style="50" customWidth="1"/>
    <col min="8977" max="8977" width="3.85546875" style="50" customWidth="1"/>
    <col min="8978" max="8978" width="6.5703125" style="50" customWidth="1"/>
    <col min="8979" max="8979" width="3.85546875" style="50" customWidth="1"/>
    <col min="8980" max="9216" width="9.140625" style="50"/>
    <col min="9217" max="9217" width="27.140625" style="50" customWidth="1"/>
    <col min="9218" max="9218" width="9" style="50" customWidth="1"/>
    <col min="9219" max="9219" width="6.5703125" style="50" customWidth="1"/>
    <col min="9220" max="9220" width="8.5703125" style="50" customWidth="1"/>
    <col min="9221" max="9221" width="13.85546875" style="50" customWidth="1"/>
    <col min="9222" max="9222" width="6.5703125" style="50" customWidth="1"/>
    <col min="9223" max="9223" width="3.85546875" style="50" customWidth="1"/>
    <col min="9224" max="9224" width="5.42578125" style="50" customWidth="1"/>
    <col min="9225" max="9225" width="3.85546875" style="50" customWidth="1"/>
    <col min="9226" max="9226" width="6.5703125" style="50" customWidth="1"/>
    <col min="9227" max="9227" width="3.85546875" style="50" customWidth="1"/>
    <col min="9228" max="9228" width="6.5703125" style="50" customWidth="1"/>
    <col min="9229" max="9229" width="3.85546875" style="50" customWidth="1"/>
    <col min="9230" max="9230" width="6.5703125" style="50" customWidth="1"/>
    <col min="9231" max="9231" width="3.85546875" style="50" customWidth="1"/>
    <col min="9232" max="9232" width="6.5703125" style="50" customWidth="1"/>
    <col min="9233" max="9233" width="3.85546875" style="50" customWidth="1"/>
    <col min="9234" max="9234" width="6.5703125" style="50" customWidth="1"/>
    <col min="9235" max="9235" width="3.85546875" style="50" customWidth="1"/>
    <col min="9236" max="9472" width="9.140625" style="50"/>
    <col min="9473" max="9473" width="27.140625" style="50" customWidth="1"/>
    <col min="9474" max="9474" width="9" style="50" customWidth="1"/>
    <col min="9475" max="9475" width="6.5703125" style="50" customWidth="1"/>
    <col min="9476" max="9476" width="8.5703125" style="50" customWidth="1"/>
    <col min="9477" max="9477" width="13.85546875" style="50" customWidth="1"/>
    <col min="9478" max="9478" width="6.5703125" style="50" customWidth="1"/>
    <col min="9479" max="9479" width="3.85546875" style="50" customWidth="1"/>
    <col min="9480" max="9480" width="5.42578125" style="50" customWidth="1"/>
    <col min="9481" max="9481" width="3.85546875" style="50" customWidth="1"/>
    <col min="9482" max="9482" width="6.5703125" style="50" customWidth="1"/>
    <col min="9483" max="9483" width="3.85546875" style="50" customWidth="1"/>
    <col min="9484" max="9484" width="6.5703125" style="50" customWidth="1"/>
    <col min="9485" max="9485" width="3.85546875" style="50" customWidth="1"/>
    <col min="9486" max="9486" width="6.5703125" style="50" customWidth="1"/>
    <col min="9487" max="9487" width="3.85546875" style="50" customWidth="1"/>
    <col min="9488" max="9488" width="6.5703125" style="50" customWidth="1"/>
    <col min="9489" max="9489" width="3.85546875" style="50" customWidth="1"/>
    <col min="9490" max="9490" width="6.5703125" style="50" customWidth="1"/>
    <col min="9491" max="9491" width="3.85546875" style="50" customWidth="1"/>
    <col min="9492" max="9728" width="9.140625" style="50"/>
    <col min="9729" max="9729" width="27.140625" style="50" customWidth="1"/>
    <col min="9730" max="9730" width="9" style="50" customWidth="1"/>
    <col min="9731" max="9731" width="6.5703125" style="50" customWidth="1"/>
    <col min="9732" max="9732" width="8.5703125" style="50" customWidth="1"/>
    <col min="9733" max="9733" width="13.85546875" style="50" customWidth="1"/>
    <col min="9734" max="9734" width="6.5703125" style="50" customWidth="1"/>
    <col min="9735" max="9735" width="3.85546875" style="50" customWidth="1"/>
    <col min="9736" max="9736" width="5.42578125" style="50" customWidth="1"/>
    <col min="9737" max="9737" width="3.85546875" style="50" customWidth="1"/>
    <col min="9738" max="9738" width="6.5703125" style="50" customWidth="1"/>
    <col min="9739" max="9739" width="3.85546875" style="50" customWidth="1"/>
    <col min="9740" max="9740" width="6.5703125" style="50" customWidth="1"/>
    <col min="9741" max="9741" width="3.85546875" style="50" customWidth="1"/>
    <col min="9742" max="9742" width="6.5703125" style="50" customWidth="1"/>
    <col min="9743" max="9743" width="3.85546875" style="50" customWidth="1"/>
    <col min="9744" max="9744" width="6.5703125" style="50" customWidth="1"/>
    <col min="9745" max="9745" width="3.85546875" style="50" customWidth="1"/>
    <col min="9746" max="9746" width="6.5703125" style="50" customWidth="1"/>
    <col min="9747" max="9747" width="3.85546875" style="50" customWidth="1"/>
    <col min="9748" max="9984" width="9.140625" style="50"/>
    <col min="9985" max="9985" width="27.140625" style="50" customWidth="1"/>
    <col min="9986" max="9986" width="9" style="50" customWidth="1"/>
    <col min="9987" max="9987" width="6.5703125" style="50" customWidth="1"/>
    <col min="9988" max="9988" width="8.5703125" style="50" customWidth="1"/>
    <col min="9989" max="9989" width="13.85546875" style="50" customWidth="1"/>
    <col min="9990" max="9990" width="6.5703125" style="50" customWidth="1"/>
    <col min="9991" max="9991" width="3.85546875" style="50" customWidth="1"/>
    <col min="9992" max="9992" width="5.42578125" style="50" customWidth="1"/>
    <col min="9993" max="9993" width="3.85546875" style="50" customWidth="1"/>
    <col min="9994" max="9994" width="6.5703125" style="50" customWidth="1"/>
    <col min="9995" max="9995" width="3.85546875" style="50" customWidth="1"/>
    <col min="9996" max="9996" width="6.5703125" style="50" customWidth="1"/>
    <col min="9997" max="9997" width="3.85546875" style="50" customWidth="1"/>
    <col min="9998" max="9998" width="6.5703125" style="50" customWidth="1"/>
    <col min="9999" max="9999" width="3.85546875" style="50" customWidth="1"/>
    <col min="10000" max="10000" width="6.5703125" style="50" customWidth="1"/>
    <col min="10001" max="10001" width="3.85546875" style="50" customWidth="1"/>
    <col min="10002" max="10002" width="6.5703125" style="50" customWidth="1"/>
    <col min="10003" max="10003" width="3.85546875" style="50" customWidth="1"/>
    <col min="10004" max="10240" width="9.140625" style="50"/>
    <col min="10241" max="10241" width="27.140625" style="50" customWidth="1"/>
    <col min="10242" max="10242" width="9" style="50" customWidth="1"/>
    <col min="10243" max="10243" width="6.5703125" style="50" customWidth="1"/>
    <col min="10244" max="10244" width="8.5703125" style="50" customWidth="1"/>
    <col min="10245" max="10245" width="13.85546875" style="50" customWidth="1"/>
    <col min="10246" max="10246" width="6.5703125" style="50" customWidth="1"/>
    <col min="10247" max="10247" width="3.85546875" style="50" customWidth="1"/>
    <col min="10248" max="10248" width="5.42578125" style="50" customWidth="1"/>
    <col min="10249" max="10249" width="3.85546875" style="50" customWidth="1"/>
    <col min="10250" max="10250" width="6.5703125" style="50" customWidth="1"/>
    <col min="10251" max="10251" width="3.85546875" style="50" customWidth="1"/>
    <col min="10252" max="10252" width="6.5703125" style="50" customWidth="1"/>
    <col min="10253" max="10253" width="3.85546875" style="50" customWidth="1"/>
    <col min="10254" max="10254" width="6.5703125" style="50" customWidth="1"/>
    <col min="10255" max="10255" width="3.85546875" style="50" customWidth="1"/>
    <col min="10256" max="10256" width="6.5703125" style="50" customWidth="1"/>
    <col min="10257" max="10257" width="3.85546875" style="50" customWidth="1"/>
    <col min="10258" max="10258" width="6.5703125" style="50" customWidth="1"/>
    <col min="10259" max="10259" width="3.85546875" style="50" customWidth="1"/>
    <col min="10260" max="10496" width="9.140625" style="50"/>
    <col min="10497" max="10497" width="27.140625" style="50" customWidth="1"/>
    <col min="10498" max="10498" width="9" style="50" customWidth="1"/>
    <col min="10499" max="10499" width="6.5703125" style="50" customWidth="1"/>
    <col min="10500" max="10500" width="8.5703125" style="50" customWidth="1"/>
    <col min="10501" max="10501" width="13.85546875" style="50" customWidth="1"/>
    <col min="10502" max="10502" width="6.5703125" style="50" customWidth="1"/>
    <col min="10503" max="10503" width="3.85546875" style="50" customWidth="1"/>
    <col min="10504" max="10504" width="5.42578125" style="50" customWidth="1"/>
    <col min="10505" max="10505" width="3.85546875" style="50" customWidth="1"/>
    <col min="10506" max="10506" width="6.5703125" style="50" customWidth="1"/>
    <col min="10507" max="10507" width="3.85546875" style="50" customWidth="1"/>
    <col min="10508" max="10508" width="6.5703125" style="50" customWidth="1"/>
    <col min="10509" max="10509" width="3.85546875" style="50" customWidth="1"/>
    <col min="10510" max="10510" width="6.5703125" style="50" customWidth="1"/>
    <col min="10511" max="10511" width="3.85546875" style="50" customWidth="1"/>
    <col min="10512" max="10512" width="6.5703125" style="50" customWidth="1"/>
    <col min="10513" max="10513" width="3.85546875" style="50" customWidth="1"/>
    <col min="10514" max="10514" width="6.5703125" style="50" customWidth="1"/>
    <col min="10515" max="10515" width="3.85546875" style="50" customWidth="1"/>
    <col min="10516" max="10752" width="9.140625" style="50"/>
    <col min="10753" max="10753" width="27.140625" style="50" customWidth="1"/>
    <col min="10754" max="10754" width="9" style="50" customWidth="1"/>
    <col min="10755" max="10755" width="6.5703125" style="50" customWidth="1"/>
    <col min="10756" max="10756" width="8.5703125" style="50" customWidth="1"/>
    <col min="10757" max="10757" width="13.85546875" style="50" customWidth="1"/>
    <col min="10758" max="10758" width="6.5703125" style="50" customWidth="1"/>
    <col min="10759" max="10759" width="3.85546875" style="50" customWidth="1"/>
    <col min="10760" max="10760" width="5.42578125" style="50" customWidth="1"/>
    <col min="10761" max="10761" width="3.85546875" style="50" customWidth="1"/>
    <col min="10762" max="10762" width="6.5703125" style="50" customWidth="1"/>
    <col min="10763" max="10763" width="3.85546875" style="50" customWidth="1"/>
    <col min="10764" max="10764" width="6.5703125" style="50" customWidth="1"/>
    <col min="10765" max="10765" width="3.85546875" style="50" customWidth="1"/>
    <col min="10766" max="10766" width="6.5703125" style="50" customWidth="1"/>
    <col min="10767" max="10767" width="3.85546875" style="50" customWidth="1"/>
    <col min="10768" max="10768" width="6.5703125" style="50" customWidth="1"/>
    <col min="10769" max="10769" width="3.85546875" style="50" customWidth="1"/>
    <col min="10770" max="10770" width="6.5703125" style="50" customWidth="1"/>
    <col min="10771" max="10771" width="3.85546875" style="50" customWidth="1"/>
    <col min="10772" max="11008" width="9.140625" style="50"/>
    <col min="11009" max="11009" width="27.140625" style="50" customWidth="1"/>
    <col min="11010" max="11010" width="9" style="50" customWidth="1"/>
    <col min="11011" max="11011" width="6.5703125" style="50" customWidth="1"/>
    <col min="11012" max="11012" width="8.5703125" style="50" customWidth="1"/>
    <col min="11013" max="11013" width="13.85546875" style="50" customWidth="1"/>
    <col min="11014" max="11014" width="6.5703125" style="50" customWidth="1"/>
    <col min="11015" max="11015" width="3.85546875" style="50" customWidth="1"/>
    <col min="11016" max="11016" width="5.42578125" style="50" customWidth="1"/>
    <col min="11017" max="11017" width="3.85546875" style="50" customWidth="1"/>
    <col min="11018" max="11018" width="6.5703125" style="50" customWidth="1"/>
    <col min="11019" max="11019" width="3.85546875" style="50" customWidth="1"/>
    <col min="11020" max="11020" width="6.5703125" style="50" customWidth="1"/>
    <col min="11021" max="11021" width="3.85546875" style="50" customWidth="1"/>
    <col min="11022" max="11022" width="6.5703125" style="50" customWidth="1"/>
    <col min="11023" max="11023" width="3.85546875" style="50" customWidth="1"/>
    <col min="11024" max="11024" width="6.5703125" style="50" customWidth="1"/>
    <col min="11025" max="11025" width="3.85546875" style="50" customWidth="1"/>
    <col min="11026" max="11026" width="6.5703125" style="50" customWidth="1"/>
    <col min="11027" max="11027" width="3.85546875" style="50" customWidth="1"/>
    <col min="11028" max="11264" width="9.140625" style="50"/>
    <col min="11265" max="11265" width="27.140625" style="50" customWidth="1"/>
    <col min="11266" max="11266" width="9" style="50" customWidth="1"/>
    <col min="11267" max="11267" width="6.5703125" style="50" customWidth="1"/>
    <col min="11268" max="11268" width="8.5703125" style="50" customWidth="1"/>
    <col min="11269" max="11269" width="13.85546875" style="50" customWidth="1"/>
    <col min="11270" max="11270" width="6.5703125" style="50" customWidth="1"/>
    <col min="11271" max="11271" width="3.85546875" style="50" customWidth="1"/>
    <col min="11272" max="11272" width="5.42578125" style="50" customWidth="1"/>
    <col min="11273" max="11273" width="3.85546875" style="50" customWidth="1"/>
    <col min="11274" max="11274" width="6.5703125" style="50" customWidth="1"/>
    <col min="11275" max="11275" width="3.85546875" style="50" customWidth="1"/>
    <col min="11276" max="11276" width="6.5703125" style="50" customWidth="1"/>
    <col min="11277" max="11277" width="3.85546875" style="50" customWidth="1"/>
    <col min="11278" max="11278" width="6.5703125" style="50" customWidth="1"/>
    <col min="11279" max="11279" width="3.85546875" style="50" customWidth="1"/>
    <col min="11280" max="11280" width="6.5703125" style="50" customWidth="1"/>
    <col min="11281" max="11281" width="3.85546875" style="50" customWidth="1"/>
    <col min="11282" max="11282" width="6.5703125" style="50" customWidth="1"/>
    <col min="11283" max="11283" width="3.85546875" style="50" customWidth="1"/>
    <col min="11284" max="11520" width="9.140625" style="50"/>
    <col min="11521" max="11521" width="27.140625" style="50" customWidth="1"/>
    <col min="11522" max="11522" width="9" style="50" customWidth="1"/>
    <col min="11523" max="11523" width="6.5703125" style="50" customWidth="1"/>
    <col min="11524" max="11524" width="8.5703125" style="50" customWidth="1"/>
    <col min="11525" max="11525" width="13.85546875" style="50" customWidth="1"/>
    <col min="11526" max="11526" width="6.5703125" style="50" customWidth="1"/>
    <col min="11527" max="11527" width="3.85546875" style="50" customWidth="1"/>
    <col min="11528" max="11528" width="5.42578125" style="50" customWidth="1"/>
    <col min="11529" max="11529" width="3.85546875" style="50" customWidth="1"/>
    <col min="11530" max="11530" width="6.5703125" style="50" customWidth="1"/>
    <col min="11531" max="11531" width="3.85546875" style="50" customWidth="1"/>
    <col min="11532" max="11532" width="6.5703125" style="50" customWidth="1"/>
    <col min="11533" max="11533" width="3.85546875" style="50" customWidth="1"/>
    <col min="11534" max="11534" width="6.5703125" style="50" customWidth="1"/>
    <col min="11535" max="11535" width="3.85546875" style="50" customWidth="1"/>
    <col min="11536" max="11536" width="6.5703125" style="50" customWidth="1"/>
    <col min="11537" max="11537" width="3.85546875" style="50" customWidth="1"/>
    <col min="11538" max="11538" width="6.5703125" style="50" customWidth="1"/>
    <col min="11539" max="11539" width="3.85546875" style="50" customWidth="1"/>
    <col min="11540" max="11776" width="9.140625" style="50"/>
    <col min="11777" max="11777" width="27.140625" style="50" customWidth="1"/>
    <col min="11778" max="11778" width="9" style="50" customWidth="1"/>
    <col min="11779" max="11779" width="6.5703125" style="50" customWidth="1"/>
    <col min="11780" max="11780" width="8.5703125" style="50" customWidth="1"/>
    <col min="11781" max="11781" width="13.85546875" style="50" customWidth="1"/>
    <col min="11782" max="11782" width="6.5703125" style="50" customWidth="1"/>
    <col min="11783" max="11783" width="3.85546875" style="50" customWidth="1"/>
    <col min="11784" max="11784" width="5.42578125" style="50" customWidth="1"/>
    <col min="11785" max="11785" width="3.85546875" style="50" customWidth="1"/>
    <col min="11786" max="11786" width="6.5703125" style="50" customWidth="1"/>
    <col min="11787" max="11787" width="3.85546875" style="50" customWidth="1"/>
    <col min="11788" max="11788" width="6.5703125" style="50" customWidth="1"/>
    <col min="11789" max="11789" width="3.85546875" style="50" customWidth="1"/>
    <col min="11790" max="11790" width="6.5703125" style="50" customWidth="1"/>
    <col min="11791" max="11791" width="3.85546875" style="50" customWidth="1"/>
    <col min="11792" max="11792" width="6.5703125" style="50" customWidth="1"/>
    <col min="11793" max="11793" width="3.85546875" style="50" customWidth="1"/>
    <col min="11794" max="11794" width="6.5703125" style="50" customWidth="1"/>
    <col min="11795" max="11795" width="3.85546875" style="50" customWidth="1"/>
    <col min="11796" max="12032" width="9.140625" style="50"/>
    <col min="12033" max="12033" width="27.140625" style="50" customWidth="1"/>
    <col min="12034" max="12034" width="9" style="50" customWidth="1"/>
    <col min="12035" max="12035" width="6.5703125" style="50" customWidth="1"/>
    <col min="12036" max="12036" width="8.5703125" style="50" customWidth="1"/>
    <col min="12037" max="12037" width="13.85546875" style="50" customWidth="1"/>
    <col min="12038" max="12038" width="6.5703125" style="50" customWidth="1"/>
    <col min="12039" max="12039" width="3.85546875" style="50" customWidth="1"/>
    <col min="12040" max="12040" width="5.42578125" style="50" customWidth="1"/>
    <col min="12041" max="12041" width="3.85546875" style="50" customWidth="1"/>
    <col min="12042" max="12042" width="6.5703125" style="50" customWidth="1"/>
    <col min="12043" max="12043" width="3.85546875" style="50" customWidth="1"/>
    <col min="12044" max="12044" width="6.5703125" style="50" customWidth="1"/>
    <col min="12045" max="12045" width="3.85546875" style="50" customWidth="1"/>
    <col min="12046" max="12046" width="6.5703125" style="50" customWidth="1"/>
    <col min="12047" max="12047" width="3.85546875" style="50" customWidth="1"/>
    <col min="12048" max="12048" width="6.5703125" style="50" customWidth="1"/>
    <col min="12049" max="12049" width="3.85546875" style="50" customWidth="1"/>
    <col min="12050" max="12050" width="6.5703125" style="50" customWidth="1"/>
    <col min="12051" max="12051" width="3.85546875" style="50" customWidth="1"/>
    <col min="12052" max="12288" width="9.140625" style="50"/>
    <col min="12289" max="12289" width="27.140625" style="50" customWidth="1"/>
    <col min="12290" max="12290" width="9" style="50" customWidth="1"/>
    <col min="12291" max="12291" width="6.5703125" style="50" customWidth="1"/>
    <col min="12292" max="12292" width="8.5703125" style="50" customWidth="1"/>
    <col min="12293" max="12293" width="13.85546875" style="50" customWidth="1"/>
    <col min="12294" max="12294" width="6.5703125" style="50" customWidth="1"/>
    <col min="12295" max="12295" width="3.85546875" style="50" customWidth="1"/>
    <col min="12296" max="12296" width="5.42578125" style="50" customWidth="1"/>
    <col min="12297" max="12297" width="3.85546875" style="50" customWidth="1"/>
    <col min="12298" max="12298" width="6.5703125" style="50" customWidth="1"/>
    <col min="12299" max="12299" width="3.85546875" style="50" customWidth="1"/>
    <col min="12300" max="12300" width="6.5703125" style="50" customWidth="1"/>
    <col min="12301" max="12301" width="3.85546875" style="50" customWidth="1"/>
    <col min="12302" max="12302" width="6.5703125" style="50" customWidth="1"/>
    <col min="12303" max="12303" width="3.85546875" style="50" customWidth="1"/>
    <col min="12304" max="12304" width="6.5703125" style="50" customWidth="1"/>
    <col min="12305" max="12305" width="3.85546875" style="50" customWidth="1"/>
    <col min="12306" max="12306" width="6.5703125" style="50" customWidth="1"/>
    <col min="12307" max="12307" width="3.85546875" style="50" customWidth="1"/>
    <col min="12308" max="12544" width="9.140625" style="50"/>
    <col min="12545" max="12545" width="27.140625" style="50" customWidth="1"/>
    <col min="12546" max="12546" width="9" style="50" customWidth="1"/>
    <col min="12547" max="12547" width="6.5703125" style="50" customWidth="1"/>
    <col min="12548" max="12548" width="8.5703125" style="50" customWidth="1"/>
    <col min="12549" max="12549" width="13.85546875" style="50" customWidth="1"/>
    <col min="12550" max="12550" width="6.5703125" style="50" customWidth="1"/>
    <col min="12551" max="12551" width="3.85546875" style="50" customWidth="1"/>
    <col min="12552" max="12552" width="5.42578125" style="50" customWidth="1"/>
    <col min="12553" max="12553" width="3.85546875" style="50" customWidth="1"/>
    <col min="12554" max="12554" width="6.5703125" style="50" customWidth="1"/>
    <col min="12555" max="12555" width="3.85546875" style="50" customWidth="1"/>
    <col min="12556" max="12556" width="6.5703125" style="50" customWidth="1"/>
    <col min="12557" max="12557" width="3.85546875" style="50" customWidth="1"/>
    <col min="12558" max="12558" width="6.5703125" style="50" customWidth="1"/>
    <col min="12559" max="12559" width="3.85546875" style="50" customWidth="1"/>
    <col min="12560" max="12560" width="6.5703125" style="50" customWidth="1"/>
    <col min="12561" max="12561" width="3.85546875" style="50" customWidth="1"/>
    <col min="12562" max="12562" width="6.5703125" style="50" customWidth="1"/>
    <col min="12563" max="12563" width="3.85546875" style="50" customWidth="1"/>
    <col min="12564" max="12800" width="9.140625" style="50"/>
    <col min="12801" max="12801" width="27.140625" style="50" customWidth="1"/>
    <col min="12802" max="12802" width="9" style="50" customWidth="1"/>
    <col min="12803" max="12803" width="6.5703125" style="50" customWidth="1"/>
    <col min="12804" max="12804" width="8.5703125" style="50" customWidth="1"/>
    <col min="12805" max="12805" width="13.85546875" style="50" customWidth="1"/>
    <col min="12806" max="12806" width="6.5703125" style="50" customWidth="1"/>
    <col min="12807" max="12807" width="3.85546875" style="50" customWidth="1"/>
    <col min="12808" max="12808" width="5.42578125" style="50" customWidth="1"/>
    <col min="12809" max="12809" width="3.85546875" style="50" customWidth="1"/>
    <col min="12810" max="12810" width="6.5703125" style="50" customWidth="1"/>
    <col min="12811" max="12811" width="3.85546875" style="50" customWidth="1"/>
    <col min="12812" max="12812" width="6.5703125" style="50" customWidth="1"/>
    <col min="12813" max="12813" width="3.85546875" style="50" customWidth="1"/>
    <col min="12814" max="12814" width="6.5703125" style="50" customWidth="1"/>
    <col min="12815" max="12815" width="3.85546875" style="50" customWidth="1"/>
    <col min="12816" max="12816" width="6.5703125" style="50" customWidth="1"/>
    <col min="12817" max="12817" width="3.85546875" style="50" customWidth="1"/>
    <col min="12818" max="12818" width="6.5703125" style="50" customWidth="1"/>
    <col min="12819" max="12819" width="3.85546875" style="50" customWidth="1"/>
    <col min="12820" max="13056" width="9.140625" style="50"/>
    <col min="13057" max="13057" width="27.140625" style="50" customWidth="1"/>
    <col min="13058" max="13058" width="9" style="50" customWidth="1"/>
    <col min="13059" max="13059" width="6.5703125" style="50" customWidth="1"/>
    <col min="13060" max="13060" width="8.5703125" style="50" customWidth="1"/>
    <col min="13061" max="13061" width="13.85546875" style="50" customWidth="1"/>
    <col min="13062" max="13062" width="6.5703125" style="50" customWidth="1"/>
    <col min="13063" max="13063" width="3.85546875" style="50" customWidth="1"/>
    <col min="13064" max="13064" width="5.42578125" style="50" customWidth="1"/>
    <col min="13065" max="13065" width="3.85546875" style="50" customWidth="1"/>
    <col min="13066" max="13066" width="6.5703125" style="50" customWidth="1"/>
    <col min="13067" max="13067" width="3.85546875" style="50" customWidth="1"/>
    <col min="13068" max="13068" width="6.5703125" style="50" customWidth="1"/>
    <col min="13069" max="13069" width="3.85546875" style="50" customWidth="1"/>
    <col min="13070" max="13070" width="6.5703125" style="50" customWidth="1"/>
    <col min="13071" max="13071" width="3.85546875" style="50" customWidth="1"/>
    <col min="13072" max="13072" width="6.5703125" style="50" customWidth="1"/>
    <col min="13073" max="13073" width="3.85546875" style="50" customWidth="1"/>
    <col min="13074" max="13074" width="6.5703125" style="50" customWidth="1"/>
    <col min="13075" max="13075" width="3.85546875" style="50" customWidth="1"/>
    <col min="13076" max="13312" width="9.140625" style="50"/>
    <col min="13313" max="13313" width="27.140625" style="50" customWidth="1"/>
    <col min="13314" max="13314" width="9" style="50" customWidth="1"/>
    <col min="13315" max="13315" width="6.5703125" style="50" customWidth="1"/>
    <col min="13316" max="13316" width="8.5703125" style="50" customWidth="1"/>
    <col min="13317" max="13317" width="13.85546875" style="50" customWidth="1"/>
    <col min="13318" max="13318" width="6.5703125" style="50" customWidth="1"/>
    <col min="13319" max="13319" width="3.85546875" style="50" customWidth="1"/>
    <col min="13320" max="13320" width="5.42578125" style="50" customWidth="1"/>
    <col min="13321" max="13321" width="3.85546875" style="50" customWidth="1"/>
    <col min="13322" max="13322" width="6.5703125" style="50" customWidth="1"/>
    <col min="13323" max="13323" width="3.85546875" style="50" customWidth="1"/>
    <col min="13324" max="13324" width="6.5703125" style="50" customWidth="1"/>
    <col min="13325" max="13325" width="3.85546875" style="50" customWidth="1"/>
    <col min="13326" max="13326" width="6.5703125" style="50" customWidth="1"/>
    <col min="13327" max="13327" width="3.85546875" style="50" customWidth="1"/>
    <col min="13328" max="13328" width="6.5703125" style="50" customWidth="1"/>
    <col min="13329" max="13329" width="3.85546875" style="50" customWidth="1"/>
    <col min="13330" max="13330" width="6.5703125" style="50" customWidth="1"/>
    <col min="13331" max="13331" width="3.85546875" style="50" customWidth="1"/>
    <col min="13332" max="13568" width="9.140625" style="50"/>
    <col min="13569" max="13569" width="27.140625" style="50" customWidth="1"/>
    <col min="13570" max="13570" width="9" style="50" customWidth="1"/>
    <col min="13571" max="13571" width="6.5703125" style="50" customWidth="1"/>
    <col min="13572" max="13572" width="8.5703125" style="50" customWidth="1"/>
    <col min="13573" max="13573" width="13.85546875" style="50" customWidth="1"/>
    <col min="13574" max="13574" width="6.5703125" style="50" customWidth="1"/>
    <col min="13575" max="13575" width="3.85546875" style="50" customWidth="1"/>
    <col min="13576" max="13576" width="5.42578125" style="50" customWidth="1"/>
    <col min="13577" max="13577" width="3.85546875" style="50" customWidth="1"/>
    <col min="13578" max="13578" width="6.5703125" style="50" customWidth="1"/>
    <col min="13579" max="13579" width="3.85546875" style="50" customWidth="1"/>
    <col min="13580" max="13580" width="6.5703125" style="50" customWidth="1"/>
    <col min="13581" max="13581" width="3.85546875" style="50" customWidth="1"/>
    <col min="13582" max="13582" width="6.5703125" style="50" customWidth="1"/>
    <col min="13583" max="13583" width="3.85546875" style="50" customWidth="1"/>
    <col min="13584" max="13584" width="6.5703125" style="50" customWidth="1"/>
    <col min="13585" max="13585" width="3.85546875" style="50" customWidth="1"/>
    <col min="13586" max="13586" width="6.5703125" style="50" customWidth="1"/>
    <col min="13587" max="13587" width="3.85546875" style="50" customWidth="1"/>
    <col min="13588" max="13824" width="9.140625" style="50"/>
    <col min="13825" max="13825" width="27.140625" style="50" customWidth="1"/>
    <col min="13826" max="13826" width="9" style="50" customWidth="1"/>
    <col min="13827" max="13827" width="6.5703125" style="50" customWidth="1"/>
    <col min="13828" max="13828" width="8.5703125" style="50" customWidth="1"/>
    <col min="13829" max="13829" width="13.85546875" style="50" customWidth="1"/>
    <col min="13830" max="13830" width="6.5703125" style="50" customWidth="1"/>
    <col min="13831" max="13831" width="3.85546875" style="50" customWidth="1"/>
    <col min="13832" max="13832" width="5.42578125" style="50" customWidth="1"/>
    <col min="13833" max="13833" width="3.85546875" style="50" customWidth="1"/>
    <col min="13834" max="13834" width="6.5703125" style="50" customWidth="1"/>
    <col min="13835" max="13835" width="3.85546875" style="50" customWidth="1"/>
    <col min="13836" max="13836" width="6.5703125" style="50" customWidth="1"/>
    <col min="13837" max="13837" width="3.85546875" style="50" customWidth="1"/>
    <col min="13838" max="13838" width="6.5703125" style="50" customWidth="1"/>
    <col min="13839" max="13839" width="3.85546875" style="50" customWidth="1"/>
    <col min="13840" max="13840" width="6.5703125" style="50" customWidth="1"/>
    <col min="13841" max="13841" width="3.85546875" style="50" customWidth="1"/>
    <col min="13842" max="13842" width="6.5703125" style="50" customWidth="1"/>
    <col min="13843" max="13843" width="3.85546875" style="50" customWidth="1"/>
    <col min="13844" max="14080" width="9.140625" style="50"/>
    <col min="14081" max="14081" width="27.140625" style="50" customWidth="1"/>
    <col min="14082" max="14082" width="9" style="50" customWidth="1"/>
    <col min="14083" max="14083" width="6.5703125" style="50" customWidth="1"/>
    <col min="14084" max="14084" width="8.5703125" style="50" customWidth="1"/>
    <col min="14085" max="14085" width="13.85546875" style="50" customWidth="1"/>
    <col min="14086" max="14086" width="6.5703125" style="50" customWidth="1"/>
    <col min="14087" max="14087" width="3.85546875" style="50" customWidth="1"/>
    <col min="14088" max="14088" width="5.42578125" style="50" customWidth="1"/>
    <col min="14089" max="14089" width="3.85546875" style="50" customWidth="1"/>
    <col min="14090" max="14090" width="6.5703125" style="50" customWidth="1"/>
    <col min="14091" max="14091" width="3.85546875" style="50" customWidth="1"/>
    <col min="14092" max="14092" width="6.5703125" style="50" customWidth="1"/>
    <col min="14093" max="14093" width="3.85546875" style="50" customWidth="1"/>
    <col min="14094" max="14094" width="6.5703125" style="50" customWidth="1"/>
    <col min="14095" max="14095" width="3.85546875" style="50" customWidth="1"/>
    <col min="14096" max="14096" width="6.5703125" style="50" customWidth="1"/>
    <col min="14097" max="14097" width="3.85546875" style="50" customWidth="1"/>
    <col min="14098" max="14098" width="6.5703125" style="50" customWidth="1"/>
    <col min="14099" max="14099" width="3.85546875" style="50" customWidth="1"/>
    <col min="14100" max="14336" width="9.140625" style="50"/>
    <col min="14337" max="14337" width="27.140625" style="50" customWidth="1"/>
    <col min="14338" max="14338" width="9" style="50" customWidth="1"/>
    <col min="14339" max="14339" width="6.5703125" style="50" customWidth="1"/>
    <col min="14340" max="14340" width="8.5703125" style="50" customWidth="1"/>
    <col min="14341" max="14341" width="13.85546875" style="50" customWidth="1"/>
    <col min="14342" max="14342" width="6.5703125" style="50" customWidth="1"/>
    <col min="14343" max="14343" width="3.85546875" style="50" customWidth="1"/>
    <col min="14344" max="14344" width="5.42578125" style="50" customWidth="1"/>
    <col min="14345" max="14345" width="3.85546875" style="50" customWidth="1"/>
    <col min="14346" max="14346" width="6.5703125" style="50" customWidth="1"/>
    <col min="14347" max="14347" width="3.85546875" style="50" customWidth="1"/>
    <col min="14348" max="14348" width="6.5703125" style="50" customWidth="1"/>
    <col min="14349" max="14349" width="3.85546875" style="50" customWidth="1"/>
    <col min="14350" max="14350" width="6.5703125" style="50" customWidth="1"/>
    <col min="14351" max="14351" width="3.85546875" style="50" customWidth="1"/>
    <col min="14352" max="14352" width="6.5703125" style="50" customWidth="1"/>
    <col min="14353" max="14353" width="3.85546875" style="50" customWidth="1"/>
    <col min="14354" max="14354" width="6.5703125" style="50" customWidth="1"/>
    <col min="14355" max="14355" width="3.85546875" style="50" customWidth="1"/>
    <col min="14356" max="14592" width="9.140625" style="50"/>
    <col min="14593" max="14593" width="27.140625" style="50" customWidth="1"/>
    <col min="14594" max="14594" width="9" style="50" customWidth="1"/>
    <col min="14595" max="14595" width="6.5703125" style="50" customWidth="1"/>
    <col min="14596" max="14596" width="8.5703125" style="50" customWidth="1"/>
    <col min="14597" max="14597" width="13.85546875" style="50" customWidth="1"/>
    <col min="14598" max="14598" width="6.5703125" style="50" customWidth="1"/>
    <col min="14599" max="14599" width="3.85546875" style="50" customWidth="1"/>
    <col min="14600" max="14600" width="5.42578125" style="50" customWidth="1"/>
    <col min="14601" max="14601" width="3.85546875" style="50" customWidth="1"/>
    <col min="14602" max="14602" width="6.5703125" style="50" customWidth="1"/>
    <col min="14603" max="14603" width="3.85546875" style="50" customWidth="1"/>
    <col min="14604" max="14604" width="6.5703125" style="50" customWidth="1"/>
    <col min="14605" max="14605" width="3.85546875" style="50" customWidth="1"/>
    <col min="14606" max="14606" width="6.5703125" style="50" customWidth="1"/>
    <col min="14607" max="14607" width="3.85546875" style="50" customWidth="1"/>
    <col min="14608" max="14608" width="6.5703125" style="50" customWidth="1"/>
    <col min="14609" max="14609" width="3.85546875" style="50" customWidth="1"/>
    <col min="14610" max="14610" width="6.5703125" style="50" customWidth="1"/>
    <col min="14611" max="14611" width="3.85546875" style="50" customWidth="1"/>
    <col min="14612" max="14848" width="9.140625" style="50"/>
    <col min="14849" max="14849" width="27.140625" style="50" customWidth="1"/>
    <col min="14850" max="14850" width="9" style="50" customWidth="1"/>
    <col min="14851" max="14851" width="6.5703125" style="50" customWidth="1"/>
    <col min="14852" max="14852" width="8.5703125" style="50" customWidth="1"/>
    <col min="14853" max="14853" width="13.85546875" style="50" customWidth="1"/>
    <col min="14854" max="14854" width="6.5703125" style="50" customWidth="1"/>
    <col min="14855" max="14855" width="3.85546875" style="50" customWidth="1"/>
    <col min="14856" max="14856" width="5.42578125" style="50" customWidth="1"/>
    <col min="14857" max="14857" width="3.85546875" style="50" customWidth="1"/>
    <col min="14858" max="14858" width="6.5703125" style="50" customWidth="1"/>
    <col min="14859" max="14859" width="3.85546875" style="50" customWidth="1"/>
    <col min="14860" max="14860" width="6.5703125" style="50" customWidth="1"/>
    <col min="14861" max="14861" width="3.85546875" style="50" customWidth="1"/>
    <col min="14862" max="14862" width="6.5703125" style="50" customWidth="1"/>
    <col min="14863" max="14863" width="3.85546875" style="50" customWidth="1"/>
    <col min="14864" max="14864" width="6.5703125" style="50" customWidth="1"/>
    <col min="14865" max="14865" width="3.85546875" style="50" customWidth="1"/>
    <col min="14866" max="14866" width="6.5703125" style="50" customWidth="1"/>
    <col min="14867" max="14867" width="3.85546875" style="50" customWidth="1"/>
    <col min="14868" max="15104" width="9.140625" style="50"/>
    <col min="15105" max="15105" width="27.140625" style="50" customWidth="1"/>
    <col min="15106" max="15106" width="9" style="50" customWidth="1"/>
    <col min="15107" max="15107" width="6.5703125" style="50" customWidth="1"/>
    <col min="15108" max="15108" width="8.5703125" style="50" customWidth="1"/>
    <col min="15109" max="15109" width="13.85546875" style="50" customWidth="1"/>
    <col min="15110" max="15110" width="6.5703125" style="50" customWidth="1"/>
    <col min="15111" max="15111" width="3.85546875" style="50" customWidth="1"/>
    <col min="15112" max="15112" width="5.42578125" style="50" customWidth="1"/>
    <col min="15113" max="15113" width="3.85546875" style="50" customWidth="1"/>
    <col min="15114" max="15114" width="6.5703125" style="50" customWidth="1"/>
    <col min="15115" max="15115" width="3.85546875" style="50" customWidth="1"/>
    <col min="15116" max="15116" width="6.5703125" style="50" customWidth="1"/>
    <col min="15117" max="15117" width="3.85546875" style="50" customWidth="1"/>
    <col min="15118" max="15118" width="6.5703125" style="50" customWidth="1"/>
    <col min="15119" max="15119" width="3.85546875" style="50" customWidth="1"/>
    <col min="15120" max="15120" width="6.5703125" style="50" customWidth="1"/>
    <col min="15121" max="15121" width="3.85546875" style="50" customWidth="1"/>
    <col min="15122" max="15122" width="6.5703125" style="50" customWidth="1"/>
    <col min="15123" max="15123" width="3.85546875" style="50" customWidth="1"/>
    <col min="15124" max="15360" width="9.140625" style="50"/>
    <col min="15361" max="15361" width="27.140625" style="50" customWidth="1"/>
    <col min="15362" max="15362" width="9" style="50" customWidth="1"/>
    <col min="15363" max="15363" width="6.5703125" style="50" customWidth="1"/>
    <col min="15364" max="15364" width="8.5703125" style="50" customWidth="1"/>
    <col min="15365" max="15365" width="13.85546875" style="50" customWidth="1"/>
    <col min="15366" max="15366" width="6.5703125" style="50" customWidth="1"/>
    <col min="15367" max="15367" width="3.85546875" style="50" customWidth="1"/>
    <col min="15368" max="15368" width="5.42578125" style="50" customWidth="1"/>
    <col min="15369" max="15369" width="3.85546875" style="50" customWidth="1"/>
    <col min="15370" max="15370" width="6.5703125" style="50" customWidth="1"/>
    <col min="15371" max="15371" width="3.85546875" style="50" customWidth="1"/>
    <col min="15372" max="15372" width="6.5703125" style="50" customWidth="1"/>
    <col min="15373" max="15373" width="3.85546875" style="50" customWidth="1"/>
    <col min="15374" max="15374" width="6.5703125" style="50" customWidth="1"/>
    <col min="15375" max="15375" width="3.85546875" style="50" customWidth="1"/>
    <col min="15376" max="15376" width="6.5703125" style="50" customWidth="1"/>
    <col min="15377" max="15377" width="3.85546875" style="50" customWidth="1"/>
    <col min="15378" max="15378" width="6.5703125" style="50" customWidth="1"/>
    <col min="15379" max="15379" width="3.85546875" style="50" customWidth="1"/>
    <col min="15380" max="15616" width="9.140625" style="50"/>
    <col min="15617" max="15617" width="27.140625" style="50" customWidth="1"/>
    <col min="15618" max="15618" width="9" style="50" customWidth="1"/>
    <col min="15619" max="15619" width="6.5703125" style="50" customWidth="1"/>
    <col min="15620" max="15620" width="8.5703125" style="50" customWidth="1"/>
    <col min="15621" max="15621" width="13.85546875" style="50" customWidth="1"/>
    <col min="15622" max="15622" width="6.5703125" style="50" customWidth="1"/>
    <col min="15623" max="15623" width="3.85546875" style="50" customWidth="1"/>
    <col min="15624" max="15624" width="5.42578125" style="50" customWidth="1"/>
    <col min="15625" max="15625" width="3.85546875" style="50" customWidth="1"/>
    <col min="15626" max="15626" width="6.5703125" style="50" customWidth="1"/>
    <col min="15627" max="15627" width="3.85546875" style="50" customWidth="1"/>
    <col min="15628" max="15628" width="6.5703125" style="50" customWidth="1"/>
    <col min="15629" max="15629" width="3.85546875" style="50" customWidth="1"/>
    <col min="15630" max="15630" width="6.5703125" style="50" customWidth="1"/>
    <col min="15631" max="15631" width="3.85546875" style="50" customWidth="1"/>
    <col min="15632" max="15632" width="6.5703125" style="50" customWidth="1"/>
    <col min="15633" max="15633" width="3.85546875" style="50" customWidth="1"/>
    <col min="15634" max="15634" width="6.5703125" style="50" customWidth="1"/>
    <col min="15635" max="15635" width="3.85546875" style="50" customWidth="1"/>
    <col min="15636" max="15872" width="9.140625" style="50"/>
    <col min="15873" max="15873" width="27.140625" style="50" customWidth="1"/>
    <col min="15874" max="15874" width="9" style="50" customWidth="1"/>
    <col min="15875" max="15875" width="6.5703125" style="50" customWidth="1"/>
    <col min="15876" max="15876" width="8.5703125" style="50" customWidth="1"/>
    <col min="15877" max="15877" width="13.85546875" style="50" customWidth="1"/>
    <col min="15878" max="15878" width="6.5703125" style="50" customWidth="1"/>
    <col min="15879" max="15879" width="3.85546875" style="50" customWidth="1"/>
    <col min="15880" max="15880" width="5.42578125" style="50" customWidth="1"/>
    <col min="15881" max="15881" width="3.85546875" style="50" customWidth="1"/>
    <col min="15882" max="15882" width="6.5703125" style="50" customWidth="1"/>
    <col min="15883" max="15883" width="3.85546875" style="50" customWidth="1"/>
    <col min="15884" max="15884" width="6.5703125" style="50" customWidth="1"/>
    <col min="15885" max="15885" width="3.85546875" style="50" customWidth="1"/>
    <col min="15886" max="15886" width="6.5703125" style="50" customWidth="1"/>
    <col min="15887" max="15887" width="3.85546875" style="50" customWidth="1"/>
    <col min="15888" max="15888" width="6.5703125" style="50" customWidth="1"/>
    <col min="15889" max="15889" width="3.85546875" style="50" customWidth="1"/>
    <col min="15890" max="15890" width="6.5703125" style="50" customWidth="1"/>
    <col min="15891" max="15891" width="3.85546875" style="50" customWidth="1"/>
    <col min="15892" max="16128" width="9.140625" style="50"/>
    <col min="16129" max="16129" width="27.140625" style="50" customWidth="1"/>
    <col min="16130" max="16130" width="9" style="50" customWidth="1"/>
    <col min="16131" max="16131" width="6.5703125" style="50" customWidth="1"/>
    <col min="16132" max="16132" width="8.5703125" style="50" customWidth="1"/>
    <col min="16133" max="16133" width="13.85546875" style="50" customWidth="1"/>
    <col min="16134" max="16134" width="6.5703125" style="50" customWidth="1"/>
    <col min="16135" max="16135" width="3.85546875" style="50" customWidth="1"/>
    <col min="16136" max="16136" width="5.42578125" style="50" customWidth="1"/>
    <col min="16137" max="16137" width="3.85546875" style="50" customWidth="1"/>
    <col min="16138" max="16138" width="6.5703125" style="50" customWidth="1"/>
    <col min="16139" max="16139" width="3.85546875" style="50" customWidth="1"/>
    <col min="16140" max="16140" width="6.5703125" style="50" customWidth="1"/>
    <col min="16141" max="16141" width="3.85546875" style="50" customWidth="1"/>
    <col min="16142" max="16142" width="6.5703125" style="50" customWidth="1"/>
    <col min="16143" max="16143" width="3.85546875" style="50" customWidth="1"/>
    <col min="16144" max="16144" width="6.5703125" style="50" customWidth="1"/>
    <col min="16145" max="16145" width="3.85546875" style="50" customWidth="1"/>
    <col min="16146" max="16146" width="6.5703125" style="50" customWidth="1"/>
    <col min="16147" max="16147" width="3.85546875" style="50" customWidth="1"/>
    <col min="16148" max="16384" width="9.140625" style="50"/>
  </cols>
  <sheetData>
    <row r="1" spans="1:20" s="40" customFormat="1" ht="58.5" customHeight="1" x14ac:dyDescent="0.2">
      <c r="J1" s="41"/>
      <c r="N1" s="42" t="s">
        <v>99</v>
      </c>
      <c r="O1" s="41"/>
      <c r="S1" s="43" t="s">
        <v>100</v>
      </c>
    </row>
    <row r="2" spans="1:20" x14ac:dyDescent="0.2">
      <c r="A2" s="192" t="s">
        <v>274</v>
      </c>
      <c r="B2" s="102"/>
      <c r="C2" s="102"/>
      <c r="D2" s="193"/>
      <c r="E2" s="193"/>
      <c r="F2" s="194"/>
      <c r="G2" s="195"/>
      <c r="H2" s="102"/>
      <c r="I2" s="102"/>
      <c r="J2" s="101"/>
      <c r="K2" s="195"/>
      <c r="L2" s="101"/>
      <c r="M2" s="195"/>
      <c r="N2" s="101"/>
      <c r="O2" s="195"/>
      <c r="P2" s="101"/>
      <c r="Q2" s="195"/>
      <c r="R2" s="101"/>
      <c r="S2" s="102"/>
      <c r="T2" s="74"/>
    </row>
    <row r="3" spans="1:20" x14ac:dyDescent="0.2">
      <c r="A3" s="101" t="s">
        <v>275</v>
      </c>
      <c r="B3" s="102"/>
      <c r="C3" s="102"/>
      <c r="D3" s="193"/>
      <c r="E3" s="193"/>
      <c r="F3" s="194" t="s">
        <v>103</v>
      </c>
      <c r="G3" s="196"/>
      <c r="H3" s="194" t="s">
        <v>276</v>
      </c>
      <c r="I3" s="197"/>
      <c r="J3" s="194" t="s">
        <v>236</v>
      </c>
      <c r="K3" s="195"/>
      <c r="L3" s="194" t="s">
        <v>237</v>
      </c>
      <c r="M3" s="196"/>
      <c r="N3" s="194" t="s">
        <v>105</v>
      </c>
      <c r="O3" s="195"/>
      <c r="P3" s="194" t="s">
        <v>107</v>
      </c>
      <c r="Q3" s="195"/>
      <c r="R3" s="194" t="s">
        <v>114</v>
      </c>
      <c r="S3" s="102"/>
      <c r="T3" s="74"/>
    </row>
    <row r="4" spans="1:20" x14ac:dyDescent="0.2">
      <c r="A4" s="198" t="s">
        <v>116</v>
      </c>
      <c r="B4" s="199">
        <v>40107</v>
      </c>
      <c r="C4" s="102"/>
      <c r="D4" s="193" t="s">
        <v>172</v>
      </c>
      <c r="E4" s="193"/>
      <c r="F4" s="101"/>
      <c r="G4" s="195"/>
      <c r="H4" s="102"/>
      <c r="I4" s="102"/>
      <c r="J4" s="101"/>
      <c r="K4" s="195"/>
      <c r="L4" s="101"/>
      <c r="M4" s="195"/>
      <c r="N4" s="101"/>
      <c r="O4" s="195"/>
      <c r="P4" s="194" t="s">
        <v>277</v>
      </c>
      <c r="Q4" s="195"/>
      <c r="R4" s="101"/>
      <c r="S4" s="102"/>
      <c r="T4" s="74"/>
    </row>
    <row r="5" spans="1:20" x14ac:dyDescent="0.2">
      <c r="E5" s="50"/>
      <c r="F5" s="74"/>
      <c r="G5" s="75"/>
      <c r="J5" s="74"/>
      <c r="K5" s="75"/>
      <c r="L5" s="74"/>
      <c r="M5" s="75"/>
      <c r="N5" s="74"/>
      <c r="O5" s="75"/>
      <c r="P5" s="74"/>
      <c r="Q5" s="75"/>
      <c r="R5" s="74"/>
      <c r="T5" s="74"/>
    </row>
    <row r="6" spans="1:20" x14ac:dyDescent="0.2">
      <c r="A6" s="74" t="s">
        <v>278</v>
      </c>
      <c r="B6" s="50" t="s">
        <v>174</v>
      </c>
      <c r="C6" s="50" t="s">
        <v>279</v>
      </c>
      <c r="D6" s="131">
        <v>608.70000000000005</v>
      </c>
      <c r="E6" s="130" t="s">
        <v>176</v>
      </c>
      <c r="F6" s="74" t="s">
        <v>76</v>
      </c>
      <c r="G6" s="75"/>
      <c r="J6" s="74"/>
      <c r="K6" s="75"/>
      <c r="L6" s="74"/>
      <c r="M6" s="75"/>
      <c r="N6" s="74"/>
      <c r="O6" s="75"/>
      <c r="P6" s="74"/>
      <c r="Q6" s="75"/>
      <c r="R6" s="74"/>
      <c r="T6" s="74"/>
    </row>
    <row r="7" spans="1:20" x14ac:dyDescent="0.2">
      <c r="B7" s="50"/>
      <c r="C7" s="50"/>
      <c r="D7" s="131"/>
      <c r="E7" s="130"/>
      <c r="F7" s="74"/>
      <c r="G7" s="75"/>
      <c r="J7" s="74"/>
      <c r="K7" s="75"/>
      <c r="L7" s="74"/>
      <c r="M7" s="75"/>
      <c r="N7" s="74"/>
      <c r="O7" s="75"/>
      <c r="P7" s="74"/>
      <c r="Q7" s="75"/>
      <c r="R7" s="74"/>
      <c r="T7" s="74"/>
    </row>
    <row r="8" spans="1:20" x14ac:dyDescent="0.2">
      <c r="A8" s="74" t="s">
        <v>280</v>
      </c>
      <c r="B8" s="50" t="s">
        <v>184</v>
      </c>
      <c r="C8" s="50" t="s">
        <v>221</v>
      </c>
      <c r="D8" s="131"/>
      <c r="E8" s="130" t="s">
        <v>186</v>
      </c>
      <c r="F8" s="74" t="s">
        <v>76</v>
      </c>
      <c r="G8" s="75"/>
      <c r="J8" s="74"/>
      <c r="K8" s="50"/>
      <c r="L8" s="74"/>
      <c r="M8" s="75"/>
      <c r="N8" s="74"/>
      <c r="O8" s="75"/>
      <c r="P8" s="74"/>
      <c r="Q8" s="75"/>
      <c r="R8" s="74"/>
      <c r="S8" s="50"/>
      <c r="T8" s="74"/>
    </row>
    <row r="9" spans="1:20" x14ac:dyDescent="0.2">
      <c r="A9" s="74" t="s">
        <v>281</v>
      </c>
      <c r="B9" s="50" t="s">
        <v>184</v>
      </c>
      <c r="C9" s="50" t="s">
        <v>223</v>
      </c>
      <c r="D9" s="131"/>
      <c r="E9" s="130" t="s">
        <v>186</v>
      </c>
      <c r="F9" s="74" t="s">
        <v>76</v>
      </c>
      <c r="G9" s="75"/>
      <c r="J9" s="74"/>
      <c r="K9" s="50"/>
      <c r="L9" s="74"/>
      <c r="M9" s="75"/>
      <c r="N9" s="74"/>
      <c r="O9" s="75"/>
      <c r="P9" s="74"/>
      <c r="Q9" s="75"/>
      <c r="R9" s="74"/>
      <c r="S9" s="50"/>
      <c r="T9" s="74"/>
    </row>
    <row r="10" spans="1:20" x14ac:dyDescent="0.2">
      <c r="A10" s="74" t="s">
        <v>282</v>
      </c>
      <c r="B10" s="50" t="s">
        <v>184</v>
      </c>
      <c r="C10" s="50" t="s">
        <v>225</v>
      </c>
      <c r="D10" s="131"/>
      <c r="E10" s="130" t="s">
        <v>186</v>
      </c>
      <c r="F10" s="74" t="s">
        <v>76</v>
      </c>
      <c r="G10" s="75"/>
      <c r="J10" s="74"/>
      <c r="K10" s="50"/>
      <c r="L10" s="74"/>
      <c r="M10" s="75"/>
      <c r="N10" s="74"/>
      <c r="O10" s="75"/>
      <c r="P10" s="74"/>
      <c r="Q10" s="75"/>
      <c r="R10" s="74"/>
      <c r="S10" s="50"/>
      <c r="T10" s="74"/>
    </row>
    <row r="11" spans="1:20" x14ac:dyDescent="0.2">
      <c r="A11" s="74" t="s">
        <v>241</v>
      </c>
      <c r="B11" s="50" t="s">
        <v>184</v>
      </c>
      <c r="C11" s="50" t="s">
        <v>227</v>
      </c>
      <c r="D11" s="131"/>
      <c r="E11" s="130" t="s">
        <v>186</v>
      </c>
      <c r="F11" s="74" t="s">
        <v>76</v>
      </c>
      <c r="G11" s="75"/>
      <c r="J11" s="74"/>
      <c r="K11" s="50"/>
      <c r="L11" s="74"/>
      <c r="M11" s="75"/>
      <c r="N11" s="74"/>
      <c r="O11" s="75"/>
      <c r="P11" s="74"/>
      <c r="Q11" s="75"/>
      <c r="R11" s="74"/>
      <c r="S11" s="50"/>
      <c r="T11" s="74"/>
    </row>
    <row r="12" spans="1:20" x14ac:dyDescent="0.2">
      <c r="B12" s="50"/>
      <c r="C12" s="50"/>
      <c r="D12" s="131"/>
      <c r="E12" s="130"/>
      <c r="F12" s="74"/>
      <c r="G12" s="75"/>
      <c r="J12" s="74"/>
      <c r="K12" s="50"/>
      <c r="L12" s="74"/>
      <c r="M12" s="75"/>
      <c r="N12" s="74"/>
      <c r="O12" s="75"/>
      <c r="P12" s="74"/>
      <c r="Q12" s="75"/>
      <c r="R12" s="74"/>
      <c r="S12" s="50"/>
      <c r="T12" s="74"/>
    </row>
    <row r="13" spans="1:20" x14ac:dyDescent="0.2">
      <c r="A13" s="74" t="s">
        <v>264</v>
      </c>
      <c r="B13" s="50"/>
      <c r="C13" s="50"/>
      <c r="D13" s="131"/>
      <c r="E13" s="130"/>
      <c r="F13" s="74"/>
      <c r="G13" s="75"/>
      <c r="J13" s="74"/>
      <c r="K13" s="50"/>
      <c r="L13" s="74"/>
      <c r="M13" s="75"/>
      <c r="N13" s="74"/>
      <c r="O13" s="75"/>
      <c r="P13" s="74"/>
      <c r="Q13" s="75"/>
      <c r="R13" s="74"/>
      <c r="S13" s="50"/>
      <c r="T13" s="74"/>
    </row>
    <row r="14" spans="1:20" x14ac:dyDescent="0.2">
      <c r="A14" s="74" t="s">
        <v>283</v>
      </c>
      <c r="B14" s="50"/>
      <c r="C14" s="50"/>
      <c r="D14" s="131"/>
      <c r="E14" s="130"/>
      <c r="F14" s="74"/>
      <c r="G14" s="75"/>
      <c r="J14" s="74"/>
      <c r="K14" s="50"/>
      <c r="L14" s="74"/>
      <c r="M14" s="75"/>
      <c r="N14" s="74"/>
      <c r="O14" s="75"/>
      <c r="P14" s="74"/>
      <c r="Q14" s="75"/>
      <c r="R14" s="74"/>
      <c r="S14" s="50"/>
      <c r="T14" s="74"/>
    </row>
    <row r="15" spans="1:20" x14ac:dyDescent="0.2">
      <c r="B15" s="50"/>
      <c r="C15" s="50"/>
      <c r="D15" s="131"/>
      <c r="E15" s="130"/>
      <c r="F15" s="74"/>
      <c r="G15" s="75"/>
      <c r="J15" s="74"/>
      <c r="K15" s="50"/>
      <c r="L15" s="74"/>
      <c r="M15" s="75"/>
      <c r="N15" s="74"/>
      <c r="O15" s="75"/>
      <c r="P15" s="74"/>
      <c r="Q15" s="75"/>
      <c r="R15" s="74"/>
      <c r="S15" s="50"/>
      <c r="T15" s="74"/>
    </row>
    <row r="16" spans="1:20" x14ac:dyDescent="0.2">
      <c r="A16" s="194" t="s">
        <v>284</v>
      </c>
      <c r="B16" s="197"/>
      <c r="C16" s="197"/>
      <c r="D16" s="200"/>
      <c r="E16" s="200"/>
      <c r="F16" s="101"/>
      <c r="G16" s="195"/>
      <c r="H16" s="102"/>
      <c r="I16" s="102"/>
      <c r="J16" s="101"/>
      <c r="K16" s="195"/>
      <c r="L16" s="101"/>
      <c r="M16" s="195"/>
      <c r="N16" s="101"/>
      <c r="O16" s="195"/>
      <c r="P16" s="101"/>
      <c r="Q16" s="195"/>
      <c r="R16" s="101"/>
      <c r="S16" s="102"/>
      <c r="T16" s="74"/>
    </row>
    <row r="17" spans="1:20" x14ac:dyDescent="0.2">
      <c r="E17" s="50"/>
      <c r="F17" s="74"/>
      <c r="G17" s="75"/>
      <c r="J17" s="74"/>
      <c r="K17" s="75"/>
      <c r="L17" s="74"/>
      <c r="M17" s="75"/>
      <c r="N17" s="74"/>
      <c r="O17" s="75"/>
      <c r="P17" s="74"/>
      <c r="Q17" s="75"/>
      <c r="R17" s="74"/>
      <c r="T17" s="74"/>
    </row>
    <row r="18" spans="1:20" x14ac:dyDescent="0.2">
      <c r="A18" s="201" t="s">
        <v>285</v>
      </c>
      <c r="B18" s="92">
        <v>1</v>
      </c>
      <c r="C18" s="92" t="s">
        <v>286</v>
      </c>
      <c r="D18" s="202">
        <f>((1/608.7)*B18)*1000</f>
        <v>1.6428454082470838</v>
      </c>
      <c r="E18" s="50" t="s">
        <v>266</v>
      </c>
      <c r="F18" s="74"/>
      <c r="G18" s="75"/>
      <c r="J18" s="74"/>
      <c r="K18" s="75"/>
      <c r="L18" s="74"/>
      <c r="M18" s="75"/>
      <c r="N18" s="74"/>
      <c r="O18" s="75"/>
      <c r="P18" s="74"/>
      <c r="Q18" s="75"/>
      <c r="R18" s="74"/>
      <c r="T18" s="74"/>
    </row>
    <row r="19" spans="1:20" x14ac:dyDescent="0.2">
      <c r="A19" s="74" t="s">
        <v>278</v>
      </c>
      <c r="E19" s="50"/>
      <c r="F19" s="74">
        <v>1</v>
      </c>
      <c r="G19" s="75" t="s">
        <v>240</v>
      </c>
      <c r="H19" s="74">
        <v>1</v>
      </c>
      <c r="I19" s="75" t="s">
        <v>240</v>
      </c>
      <c r="J19" s="74">
        <v>1</v>
      </c>
      <c r="K19" s="75" t="s">
        <v>240</v>
      </c>
      <c r="L19" s="74">
        <v>1</v>
      </c>
      <c r="M19" s="75" t="s">
        <v>240</v>
      </c>
      <c r="N19" s="74"/>
      <c r="O19" s="75"/>
      <c r="P19" s="74">
        <v>1</v>
      </c>
      <c r="Q19" s="75" t="s">
        <v>240</v>
      </c>
      <c r="R19" s="74">
        <v>1</v>
      </c>
      <c r="S19" s="40" t="s">
        <v>240</v>
      </c>
      <c r="T19" s="74"/>
    </row>
    <row r="20" spans="1:20" x14ac:dyDescent="0.2">
      <c r="A20" s="74" t="s">
        <v>283</v>
      </c>
      <c r="E20" s="50"/>
      <c r="F20" s="74">
        <v>1</v>
      </c>
      <c r="G20" s="75" t="s">
        <v>126</v>
      </c>
      <c r="H20" s="74">
        <v>1</v>
      </c>
      <c r="I20" s="75" t="s">
        <v>126</v>
      </c>
      <c r="J20" s="74">
        <v>1</v>
      </c>
      <c r="K20" s="75" t="s">
        <v>126</v>
      </c>
      <c r="L20" s="74">
        <v>1</v>
      </c>
      <c r="M20" s="75" t="s">
        <v>126</v>
      </c>
      <c r="N20" s="74"/>
      <c r="O20" s="75"/>
      <c r="P20" s="74">
        <v>1</v>
      </c>
      <c r="Q20" s="75" t="s">
        <v>126</v>
      </c>
      <c r="R20" s="74">
        <v>1</v>
      </c>
      <c r="S20" s="40" t="s">
        <v>126</v>
      </c>
      <c r="T20" s="74"/>
    </row>
    <row r="21" spans="1:20" ht="13.5" thickBot="1" x14ac:dyDescent="0.25">
      <c r="A21" s="83" t="s">
        <v>287</v>
      </c>
      <c r="B21" s="82"/>
      <c r="C21" s="82"/>
      <c r="D21" s="82"/>
      <c r="E21" s="82"/>
      <c r="F21" s="83">
        <v>1</v>
      </c>
      <c r="G21" s="84" t="s">
        <v>126</v>
      </c>
      <c r="H21" s="83">
        <v>1</v>
      </c>
      <c r="I21" s="84" t="s">
        <v>126</v>
      </c>
      <c r="J21" s="83">
        <v>1</v>
      </c>
      <c r="K21" s="84" t="s">
        <v>126</v>
      </c>
      <c r="L21" s="83">
        <v>1</v>
      </c>
      <c r="M21" s="84" t="s">
        <v>126</v>
      </c>
      <c r="N21" s="83"/>
      <c r="O21" s="84"/>
      <c r="P21" s="83">
        <v>1</v>
      </c>
      <c r="Q21" s="84" t="s">
        <v>126</v>
      </c>
      <c r="R21" s="83">
        <v>1</v>
      </c>
      <c r="S21" s="82" t="s">
        <v>126</v>
      </c>
      <c r="T21" s="74"/>
    </row>
    <row r="22" spans="1:20" ht="13.5" thickTop="1" x14ac:dyDescent="0.2">
      <c r="A22" s="74" t="s">
        <v>288</v>
      </c>
      <c r="D22" s="40"/>
      <c r="F22" s="74"/>
      <c r="G22" s="75"/>
      <c r="H22" s="74"/>
      <c r="I22" s="75"/>
      <c r="J22" s="74"/>
      <c r="K22" s="75"/>
      <c r="L22" s="74"/>
      <c r="M22" s="75"/>
      <c r="N22" s="74"/>
      <c r="O22" s="75"/>
      <c r="P22" s="74"/>
      <c r="Q22" s="75"/>
      <c r="R22" s="74"/>
      <c r="T22" s="74"/>
    </row>
    <row r="23" spans="1:20" x14ac:dyDescent="0.2">
      <c r="E23" s="50"/>
      <c r="F23" s="74"/>
      <c r="G23" s="75"/>
      <c r="H23" s="74"/>
      <c r="I23" s="75"/>
      <c r="J23" s="74"/>
      <c r="K23" s="75"/>
      <c r="L23" s="74"/>
      <c r="M23" s="75"/>
      <c r="N23" s="74"/>
      <c r="O23" s="75"/>
      <c r="P23" s="74"/>
      <c r="Q23" s="75"/>
      <c r="R23" s="74"/>
      <c r="T23" s="74"/>
    </row>
    <row r="24" spans="1:20" x14ac:dyDescent="0.2">
      <c r="A24" s="201" t="s">
        <v>289</v>
      </c>
      <c r="B24" s="92">
        <v>1</v>
      </c>
      <c r="C24" s="92" t="s">
        <v>290</v>
      </c>
      <c r="D24" s="202">
        <f>((1/608.7)*B24)*1000</f>
        <v>1.6428454082470838</v>
      </c>
      <c r="E24" s="50" t="s">
        <v>273</v>
      </c>
      <c r="F24" s="74"/>
      <c r="G24" s="75"/>
      <c r="H24" s="74"/>
      <c r="I24" s="75"/>
      <c r="J24" s="74"/>
      <c r="K24" s="75"/>
      <c r="L24" s="74"/>
      <c r="M24" s="75"/>
      <c r="N24" s="74"/>
      <c r="O24" s="75"/>
      <c r="P24" s="74"/>
      <c r="Q24" s="75"/>
      <c r="R24" s="74"/>
      <c r="T24" s="74"/>
    </row>
    <row r="25" spans="1:20" x14ac:dyDescent="0.2">
      <c r="A25" s="203" t="s">
        <v>291</v>
      </c>
      <c r="B25" s="170"/>
      <c r="C25" s="170"/>
      <c r="E25" s="50"/>
      <c r="F25" s="74">
        <v>10</v>
      </c>
      <c r="G25" s="75" t="s">
        <v>120</v>
      </c>
      <c r="H25" s="74">
        <v>10</v>
      </c>
      <c r="I25" s="75" t="s">
        <v>120</v>
      </c>
      <c r="J25" s="74">
        <v>10</v>
      </c>
      <c r="K25" s="75" t="s">
        <v>120</v>
      </c>
      <c r="L25" s="74">
        <v>10</v>
      </c>
      <c r="M25" s="75" t="s">
        <v>120</v>
      </c>
      <c r="N25" s="74"/>
      <c r="O25" s="75"/>
      <c r="P25" s="74">
        <v>10</v>
      </c>
      <c r="Q25" s="75" t="s">
        <v>120</v>
      </c>
      <c r="R25" s="74">
        <v>10</v>
      </c>
      <c r="S25" s="40" t="s">
        <v>120</v>
      </c>
      <c r="T25" s="74"/>
    </row>
    <row r="26" spans="1:20" x14ac:dyDescent="0.2">
      <c r="A26" s="74" t="s">
        <v>264</v>
      </c>
      <c r="E26" s="50"/>
      <c r="F26" s="74">
        <v>9.99</v>
      </c>
      <c r="G26" s="75" t="s">
        <v>126</v>
      </c>
      <c r="H26" s="74">
        <v>9.99</v>
      </c>
      <c r="I26" s="75" t="s">
        <v>126</v>
      </c>
      <c r="J26" s="74">
        <v>9.99</v>
      </c>
      <c r="K26" s="75" t="s">
        <v>126</v>
      </c>
      <c r="L26" s="74">
        <v>9.99</v>
      </c>
      <c r="M26" s="75" t="s">
        <v>126</v>
      </c>
      <c r="N26" s="74"/>
      <c r="O26" s="75"/>
      <c r="P26" s="74">
        <v>9.99</v>
      </c>
      <c r="Q26" s="75" t="s">
        <v>126</v>
      </c>
      <c r="R26" s="74">
        <v>9.99</v>
      </c>
      <c r="S26" s="40" t="s">
        <v>126</v>
      </c>
      <c r="T26" s="74"/>
    </row>
    <row r="27" spans="1:20" ht="13.5" thickBot="1" x14ac:dyDescent="0.25">
      <c r="A27" s="83" t="s">
        <v>289</v>
      </c>
      <c r="B27" s="82"/>
      <c r="C27" s="82"/>
      <c r="D27" s="82"/>
      <c r="E27" s="82"/>
      <c r="F27" s="83">
        <v>10</v>
      </c>
      <c r="G27" s="84" t="s">
        <v>126</v>
      </c>
      <c r="H27" s="83">
        <v>10</v>
      </c>
      <c r="I27" s="84" t="s">
        <v>126</v>
      </c>
      <c r="J27" s="83">
        <v>10</v>
      </c>
      <c r="K27" s="84" t="s">
        <v>126</v>
      </c>
      <c r="L27" s="83">
        <v>10</v>
      </c>
      <c r="M27" s="84" t="s">
        <v>126</v>
      </c>
      <c r="N27" s="83"/>
      <c r="O27" s="84"/>
      <c r="P27" s="83">
        <v>10</v>
      </c>
      <c r="Q27" s="84" t="s">
        <v>126</v>
      </c>
      <c r="R27" s="83">
        <v>10</v>
      </c>
      <c r="S27" s="82" t="s">
        <v>126</v>
      </c>
      <c r="T27" s="74"/>
    </row>
    <row r="28" spans="1:20" ht="13.5" thickTop="1" x14ac:dyDescent="0.2">
      <c r="E28" s="50"/>
      <c r="F28" s="74"/>
      <c r="G28" s="75"/>
      <c r="H28" s="74"/>
      <c r="I28" s="75"/>
      <c r="J28" s="74"/>
      <c r="K28" s="75"/>
      <c r="L28" s="74"/>
      <c r="M28" s="75"/>
      <c r="N28" s="74"/>
      <c r="O28" s="75"/>
      <c r="P28" s="74"/>
      <c r="Q28" s="75"/>
      <c r="R28" s="74"/>
      <c r="T28" s="74"/>
    </row>
    <row r="29" spans="1:20" x14ac:dyDescent="0.2">
      <c r="A29" s="201" t="s">
        <v>292</v>
      </c>
      <c r="B29" s="92">
        <v>10</v>
      </c>
      <c r="C29" s="92" t="s">
        <v>293</v>
      </c>
      <c r="D29" s="202">
        <f>((1/608.7)*B29)*1000</f>
        <v>16.428454082470839</v>
      </c>
      <c r="E29" s="50" t="s">
        <v>294</v>
      </c>
      <c r="F29" s="74"/>
      <c r="G29" s="75"/>
      <c r="J29" s="74"/>
      <c r="K29" s="75"/>
      <c r="L29" s="74"/>
      <c r="M29" s="75"/>
      <c r="N29" s="74"/>
      <c r="O29" s="75"/>
      <c r="P29" s="74"/>
      <c r="Q29" s="75"/>
      <c r="R29" s="74"/>
      <c r="T29" s="74"/>
    </row>
    <row r="30" spans="1:20" x14ac:dyDescent="0.2">
      <c r="A30" s="74" t="s">
        <v>289</v>
      </c>
      <c r="B30" s="170"/>
      <c r="C30" s="170"/>
      <c r="E30" s="50"/>
      <c r="F30" s="74"/>
      <c r="G30" s="75"/>
      <c r="J30" s="74"/>
      <c r="K30" s="75"/>
      <c r="L30" s="201">
        <v>100</v>
      </c>
      <c r="M30" s="204" t="s">
        <v>120</v>
      </c>
      <c r="N30" s="74"/>
      <c r="O30" s="75"/>
      <c r="P30" s="74"/>
      <c r="Q30" s="75"/>
      <c r="R30" s="74"/>
      <c r="T30" s="74"/>
    </row>
    <row r="31" spans="1:20" x14ac:dyDescent="0.2">
      <c r="A31" s="74" t="s">
        <v>264</v>
      </c>
      <c r="E31" s="50"/>
      <c r="F31" s="74"/>
      <c r="G31" s="75"/>
      <c r="J31" s="74"/>
      <c r="K31" s="75"/>
      <c r="L31" s="201">
        <v>9.9</v>
      </c>
      <c r="M31" s="204" t="s">
        <v>126</v>
      </c>
      <c r="N31" s="74"/>
      <c r="O31" s="75"/>
      <c r="P31" s="74"/>
      <c r="Q31" s="75"/>
      <c r="R31" s="74"/>
      <c r="T31" s="74"/>
    </row>
    <row r="32" spans="1:20" ht="13.5" thickBot="1" x14ac:dyDescent="0.25">
      <c r="A32" s="83" t="s">
        <v>292</v>
      </c>
      <c r="B32" s="82"/>
      <c r="C32" s="82"/>
      <c r="D32" s="82"/>
      <c r="E32" s="82"/>
      <c r="F32" s="83"/>
      <c r="G32" s="84"/>
      <c r="H32" s="82"/>
      <c r="I32" s="82"/>
      <c r="J32" s="83"/>
      <c r="K32" s="84"/>
      <c r="L32" s="205">
        <v>10</v>
      </c>
      <c r="M32" s="206" t="s">
        <v>126</v>
      </c>
      <c r="N32" s="83"/>
      <c r="O32" s="84"/>
      <c r="P32" s="83"/>
      <c r="Q32" s="84"/>
      <c r="R32" s="83"/>
      <c r="S32" s="82"/>
      <c r="T32" s="74"/>
    </row>
    <row r="33" spans="1:20" ht="13.5" thickTop="1" x14ac:dyDescent="0.2">
      <c r="E33" s="50"/>
      <c r="F33" s="74"/>
      <c r="G33" s="75"/>
      <c r="H33" s="74"/>
      <c r="I33" s="75"/>
      <c r="J33" s="74"/>
      <c r="K33" s="75"/>
      <c r="L33" s="74"/>
      <c r="M33" s="75"/>
      <c r="N33" s="74"/>
      <c r="O33" s="75"/>
      <c r="P33" s="74"/>
      <c r="Q33" s="75"/>
      <c r="R33" s="74"/>
      <c r="T33" s="74"/>
    </row>
    <row r="34" spans="1:20" x14ac:dyDescent="0.2">
      <c r="A34" s="201" t="s">
        <v>295</v>
      </c>
      <c r="B34" s="92">
        <v>1</v>
      </c>
      <c r="C34" s="92" t="s">
        <v>293</v>
      </c>
      <c r="D34" s="202">
        <f>((1/608.7)*B34)*1000</f>
        <v>1.6428454082470838</v>
      </c>
      <c r="E34" s="50" t="s">
        <v>294</v>
      </c>
      <c r="F34" s="74"/>
      <c r="G34" s="75"/>
      <c r="H34" s="74"/>
      <c r="I34" s="75"/>
      <c r="J34" s="74"/>
      <c r="K34" s="75"/>
      <c r="L34" s="74"/>
      <c r="M34" s="75"/>
      <c r="N34" s="74"/>
      <c r="O34" s="75"/>
      <c r="P34" s="74"/>
      <c r="Q34" s="75"/>
      <c r="R34" s="74"/>
      <c r="T34" s="74"/>
    </row>
    <row r="35" spans="1:20" x14ac:dyDescent="0.2">
      <c r="A35" s="203" t="s">
        <v>296</v>
      </c>
      <c r="B35" s="170"/>
      <c r="C35" s="170"/>
      <c r="E35" s="50"/>
      <c r="F35" s="74">
        <v>10</v>
      </c>
      <c r="G35" s="75" t="s">
        <v>120</v>
      </c>
      <c r="H35" s="74">
        <v>10</v>
      </c>
      <c r="I35" s="75" t="s">
        <v>120</v>
      </c>
      <c r="J35" s="74">
        <v>10</v>
      </c>
      <c r="K35" s="75" t="s">
        <v>120</v>
      </c>
      <c r="L35" s="74"/>
      <c r="M35" s="75"/>
      <c r="N35" s="74"/>
      <c r="O35" s="75"/>
      <c r="P35" s="74">
        <v>10</v>
      </c>
      <c r="Q35" s="75" t="s">
        <v>120</v>
      </c>
      <c r="R35" s="74">
        <v>10</v>
      </c>
      <c r="S35" s="40" t="s">
        <v>120</v>
      </c>
      <c r="T35" s="74"/>
    </row>
    <row r="36" spans="1:20" x14ac:dyDescent="0.2">
      <c r="A36" s="74" t="s">
        <v>264</v>
      </c>
      <c r="E36" s="50"/>
      <c r="F36" s="74">
        <v>9.99</v>
      </c>
      <c r="G36" s="75" t="s">
        <v>126</v>
      </c>
      <c r="H36" s="74">
        <v>9.99</v>
      </c>
      <c r="I36" s="75" t="s">
        <v>126</v>
      </c>
      <c r="J36" s="74">
        <v>9.99</v>
      </c>
      <c r="K36" s="75" t="s">
        <v>126</v>
      </c>
      <c r="L36" s="74"/>
      <c r="M36" s="75"/>
      <c r="N36" s="74"/>
      <c r="O36" s="75"/>
      <c r="P36" s="74">
        <v>9.99</v>
      </c>
      <c r="Q36" s="75" t="s">
        <v>126</v>
      </c>
      <c r="R36" s="74">
        <v>9.99</v>
      </c>
      <c r="S36" s="40" t="s">
        <v>126</v>
      </c>
      <c r="T36" s="74"/>
    </row>
    <row r="37" spans="1:20" ht="13.5" thickBot="1" x14ac:dyDescent="0.25">
      <c r="A37" s="83" t="s">
        <v>295</v>
      </c>
      <c r="B37" s="82"/>
      <c r="C37" s="82"/>
      <c r="D37" s="82"/>
      <c r="E37" s="82"/>
      <c r="F37" s="83">
        <v>10</v>
      </c>
      <c r="G37" s="84" t="s">
        <v>126</v>
      </c>
      <c r="H37" s="83">
        <v>10</v>
      </c>
      <c r="I37" s="84" t="s">
        <v>126</v>
      </c>
      <c r="J37" s="83">
        <v>10</v>
      </c>
      <c r="K37" s="84" t="s">
        <v>126</v>
      </c>
      <c r="L37" s="83"/>
      <c r="M37" s="84"/>
      <c r="N37" s="83"/>
      <c r="O37" s="84"/>
      <c r="P37" s="83">
        <v>10</v>
      </c>
      <c r="Q37" s="84" t="s">
        <v>126</v>
      </c>
      <c r="R37" s="83">
        <v>10</v>
      </c>
      <c r="S37" s="82" t="s">
        <v>126</v>
      </c>
      <c r="T37" s="74"/>
    </row>
    <row r="38" spans="1:20" ht="13.5" thickTop="1" x14ac:dyDescent="0.2">
      <c r="E38" s="50"/>
      <c r="F38" s="74"/>
      <c r="G38" s="75"/>
      <c r="H38" s="74"/>
      <c r="I38" s="75"/>
      <c r="J38" s="74"/>
      <c r="K38" s="75"/>
      <c r="L38" s="74"/>
      <c r="M38" s="75"/>
      <c r="N38" s="74"/>
      <c r="O38" s="75"/>
      <c r="P38" s="74"/>
      <c r="Q38" s="75"/>
      <c r="R38" s="74"/>
      <c r="T38" s="74"/>
    </row>
    <row r="39" spans="1:20" x14ac:dyDescent="0.2">
      <c r="A39" s="201" t="s">
        <v>297</v>
      </c>
      <c r="B39" s="92">
        <v>250</v>
      </c>
      <c r="C39" s="92" t="s">
        <v>298</v>
      </c>
      <c r="D39" s="202">
        <f>((1/608.7)*B39)*1000</f>
        <v>410.71135206177092</v>
      </c>
      <c r="E39" s="50" t="s">
        <v>299</v>
      </c>
      <c r="F39" s="74"/>
      <c r="G39" s="75"/>
      <c r="J39" s="74"/>
      <c r="K39" s="75"/>
      <c r="L39" s="74"/>
      <c r="M39" s="75"/>
      <c r="N39" s="74"/>
      <c r="O39" s="75"/>
      <c r="P39" s="74"/>
      <c r="Q39" s="75"/>
      <c r="R39" s="74"/>
      <c r="T39" s="74"/>
    </row>
    <row r="40" spans="1:20" x14ac:dyDescent="0.2">
      <c r="A40" s="203" t="s">
        <v>300</v>
      </c>
      <c r="B40" s="170"/>
      <c r="C40" s="170"/>
      <c r="E40" s="50"/>
      <c r="F40" s="74"/>
      <c r="G40" s="75"/>
      <c r="H40" s="201">
        <v>2.5</v>
      </c>
      <c r="I40" s="204" t="s">
        <v>126</v>
      </c>
      <c r="J40" s="74"/>
      <c r="K40" s="75"/>
      <c r="L40" s="74"/>
      <c r="M40" s="75"/>
      <c r="N40" s="74"/>
      <c r="O40" s="75"/>
      <c r="P40" s="74"/>
      <c r="Q40" s="75"/>
      <c r="R40" s="74"/>
      <c r="T40" s="74"/>
    </row>
    <row r="41" spans="1:20" x14ac:dyDescent="0.2">
      <c r="A41" s="74" t="s">
        <v>264</v>
      </c>
      <c r="E41" s="50"/>
      <c r="F41" s="74"/>
      <c r="G41" s="75"/>
      <c r="H41" s="201">
        <v>7.5</v>
      </c>
      <c r="I41" s="204" t="s">
        <v>126</v>
      </c>
      <c r="J41" s="74"/>
      <c r="K41" s="75"/>
      <c r="L41" s="74"/>
      <c r="M41" s="75"/>
      <c r="N41" s="74"/>
      <c r="O41" s="75"/>
      <c r="P41" s="74"/>
      <c r="Q41" s="75"/>
      <c r="R41" s="74"/>
      <c r="T41" s="74"/>
    </row>
    <row r="42" spans="1:20" ht="13.5" thickBot="1" x14ac:dyDescent="0.25">
      <c r="A42" s="83" t="s">
        <v>297</v>
      </c>
      <c r="B42" s="82"/>
      <c r="C42" s="82"/>
      <c r="D42" s="82"/>
      <c r="E42" s="82"/>
      <c r="F42" s="83"/>
      <c r="G42" s="84"/>
      <c r="H42" s="205">
        <v>10</v>
      </c>
      <c r="I42" s="206" t="s">
        <v>126</v>
      </c>
      <c r="J42" s="83"/>
      <c r="K42" s="84"/>
      <c r="L42" s="83"/>
      <c r="M42" s="84"/>
      <c r="N42" s="83"/>
      <c r="O42" s="84"/>
      <c r="P42" s="83"/>
      <c r="Q42" s="84"/>
      <c r="R42" s="83"/>
      <c r="S42" s="82"/>
      <c r="T42" s="74"/>
    </row>
    <row r="43" spans="1:20" ht="13.5" thickTop="1" x14ac:dyDescent="0.2">
      <c r="E43" s="50"/>
      <c r="F43" s="74"/>
      <c r="G43" s="75"/>
      <c r="J43" s="74"/>
      <c r="K43" s="75"/>
      <c r="L43" s="74"/>
      <c r="M43" s="75"/>
      <c r="N43" s="74"/>
      <c r="O43" s="75"/>
      <c r="P43" s="74"/>
      <c r="Q43" s="75"/>
      <c r="R43" s="74"/>
      <c r="T43" s="74"/>
    </row>
    <row r="44" spans="1:20" x14ac:dyDescent="0.2">
      <c r="A44" s="201" t="s">
        <v>301</v>
      </c>
      <c r="B44" s="92">
        <v>200</v>
      </c>
      <c r="C44" s="92" t="s">
        <v>298</v>
      </c>
      <c r="D44" s="202">
        <f>((1/608.7)*B44)*1000</f>
        <v>328.56908164941677</v>
      </c>
      <c r="E44" s="50" t="s">
        <v>299</v>
      </c>
      <c r="F44" s="74"/>
      <c r="G44" s="75"/>
      <c r="J44" s="74"/>
      <c r="K44" s="75"/>
      <c r="L44" s="74"/>
      <c r="M44" s="75"/>
      <c r="N44" s="74"/>
      <c r="O44" s="75"/>
      <c r="P44" s="74"/>
      <c r="Q44" s="75"/>
      <c r="R44" s="74"/>
      <c r="T44" s="74"/>
    </row>
    <row r="45" spans="1:20" x14ac:dyDescent="0.2">
      <c r="A45" s="203" t="s">
        <v>300</v>
      </c>
      <c r="B45" s="170"/>
      <c r="C45" s="170"/>
      <c r="E45" s="50"/>
      <c r="F45" s="74"/>
      <c r="G45" s="75"/>
      <c r="H45" s="74"/>
      <c r="I45" s="75"/>
      <c r="J45" s="74"/>
      <c r="K45" s="75"/>
      <c r="L45" s="74"/>
      <c r="M45" s="75"/>
      <c r="N45" s="74"/>
      <c r="O45" s="75"/>
      <c r="P45" s="201">
        <v>2</v>
      </c>
      <c r="Q45" s="204" t="s">
        <v>126</v>
      </c>
      <c r="R45" s="74"/>
      <c r="T45" s="74"/>
    </row>
    <row r="46" spans="1:20" x14ac:dyDescent="0.2">
      <c r="A46" s="74" t="s">
        <v>283</v>
      </c>
      <c r="E46" s="50"/>
      <c r="F46" s="74"/>
      <c r="G46" s="75"/>
      <c r="H46" s="74"/>
      <c r="I46" s="75"/>
      <c r="J46" s="74"/>
      <c r="K46" s="75"/>
      <c r="L46" s="74"/>
      <c r="M46" s="75"/>
      <c r="N46" s="74"/>
      <c r="O46" s="75"/>
      <c r="P46" s="201">
        <v>8</v>
      </c>
      <c r="Q46" s="204" t="s">
        <v>126</v>
      </c>
      <c r="R46" s="74"/>
      <c r="T46" s="74"/>
    </row>
    <row r="47" spans="1:20" ht="13.5" thickBot="1" x14ac:dyDescent="0.25">
      <c r="A47" s="83" t="s">
        <v>301</v>
      </c>
      <c r="B47" s="82"/>
      <c r="C47" s="82"/>
      <c r="D47" s="82"/>
      <c r="E47" s="82"/>
      <c r="F47" s="83"/>
      <c r="G47" s="84"/>
      <c r="H47" s="83"/>
      <c r="I47" s="84"/>
      <c r="J47" s="83"/>
      <c r="K47" s="84"/>
      <c r="L47" s="83"/>
      <c r="M47" s="84"/>
      <c r="N47" s="83"/>
      <c r="O47" s="84"/>
      <c r="P47" s="205">
        <v>10</v>
      </c>
      <c r="Q47" s="206" t="s">
        <v>126</v>
      </c>
      <c r="R47" s="83"/>
      <c r="S47" s="82"/>
      <c r="T47" s="74"/>
    </row>
    <row r="48" spans="1:20" ht="13.5" thickTop="1" x14ac:dyDescent="0.2">
      <c r="E48" s="50"/>
      <c r="F48" s="74"/>
      <c r="G48" s="75"/>
      <c r="J48" s="74"/>
      <c r="K48" s="75"/>
      <c r="L48" s="74"/>
      <c r="M48" s="75"/>
      <c r="N48" s="74"/>
      <c r="O48" s="75"/>
      <c r="P48" s="74"/>
      <c r="Q48" s="75"/>
      <c r="R48" s="74"/>
      <c r="T48" s="74"/>
    </row>
    <row r="49" spans="1:20" x14ac:dyDescent="0.2">
      <c r="A49" s="201" t="s">
        <v>302</v>
      </c>
      <c r="B49" s="92">
        <v>125</v>
      </c>
      <c r="C49" s="92" t="s">
        <v>298</v>
      </c>
      <c r="D49" s="202">
        <f>((1/608.7)*B49)*1000</f>
        <v>205.35567603088546</v>
      </c>
      <c r="E49" s="50" t="s">
        <v>299</v>
      </c>
      <c r="F49" s="74"/>
      <c r="G49" s="75"/>
      <c r="J49" s="74"/>
      <c r="K49" s="75"/>
      <c r="L49" s="74"/>
      <c r="M49" s="75"/>
      <c r="N49" s="74"/>
      <c r="O49" s="75"/>
      <c r="P49" s="74"/>
      <c r="Q49" s="75"/>
      <c r="R49" s="74"/>
      <c r="T49" s="74"/>
    </row>
    <row r="50" spans="1:20" x14ac:dyDescent="0.2">
      <c r="A50" s="203" t="s">
        <v>300</v>
      </c>
      <c r="B50" s="170"/>
      <c r="C50" s="170"/>
      <c r="E50" s="50"/>
      <c r="F50" s="201">
        <v>1</v>
      </c>
      <c r="G50" s="204" t="s">
        <v>126</v>
      </c>
      <c r="J50" s="74"/>
      <c r="K50" s="75"/>
      <c r="L50" s="74"/>
      <c r="M50" s="75"/>
      <c r="N50" s="74"/>
      <c r="O50" s="75"/>
      <c r="P50" s="74"/>
      <c r="Q50" s="75"/>
      <c r="R50" s="74"/>
      <c r="T50" s="74"/>
    </row>
    <row r="51" spans="1:20" x14ac:dyDescent="0.2">
      <c r="A51" s="74" t="s">
        <v>264</v>
      </c>
      <c r="E51" s="50"/>
      <c r="F51" s="201">
        <v>7</v>
      </c>
      <c r="G51" s="204" t="s">
        <v>126</v>
      </c>
      <c r="J51" s="74"/>
      <c r="K51" s="75"/>
      <c r="L51" s="74"/>
      <c r="M51" s="75"/>
      <c r="N51" s="74"/>
      <c r="O51" s="75"/>
      <c r="P51" s="74"/>
      <c r="Q51" s="75"/>
      <c r="R51" s="74"/>
      <c r="T51" s="74"/>
    </row>
    <row r="52" spans="1:20" ht="13.5" thickBot="1" x14ac:dyDescent="0.25">
      <c r="A52" s="83" t="s">
        <v>302</v>
      </c>
      <c r="B52" s="82"/>
      <c r="C52" s="82"/>
      <c r="D52" s="82"/>
      <c r="E52" s="82"/>
      <c r="F52" s="205">
        <v>10</v>
      </c>
      <c r="G52" s="206" t="s">
        <v>126</v>
      </c>
      <c r="H52" s="82"/>
      <c r="I52" s="82"/>
      <c r="J52" s="83"/>
      <c r="K52" s="84"/>
      <c r="L52" s="83"/>
      <c r="M52" s="84"/>
      <c r="N52" s="83"/>
      <c r="O52" s="84"/>
      <c r="P52" s="83"/>
      <c r="Q52" s="84"/>
      <c r="R52" s="83"/>
      <c r="S52" s="82"/>
      <c r="T52" s="74"/>
    </row>
    <row r="53" spans="1:20" ht="13.5" thickTop="1" x14ac:dyDescent="0.2">
      <c r="E53" s="50"/>
      <c r="F53" s="74"/>
      <c r="G53" s="75"/>
      <c r="J53" s="74"/>
      <c r="K53" s="75"/>
      <c r="L53" s="74"/>
      <c r="M53" s="75"/>
      <c r="N53" s="74"/>
      <c r="O53" s="75"/>
      <c r="P53" s="74"/>
      <c r="Q53" s="75"/>
      <c r="R53" s="74"/>
      <c r="T53" s="74"/>
    </row>
    <row r="54" spans="1:20" x14ac:dyDescent="0.2">
      <c r="A54" s="201" t="s">
        <v>303</v>
      </c>
      <c r="B54" s="92">
        <v>100</v>
      </c>
      <c r="C54" s="92" t="s">
        <v>298</v>
      </c>
      <c r="D54" s="202">
        <f>((1/608.7)*B54)*1000</f>
        <v>164.28454082470839</v>
      </c>
      <c r="E54" s="50" t="s">
        <v>299</v>
      </c>
      <c r="F54" s="74"/>
      <c r="G54" s="75"/>
      <c r="J54" s="74"/>
      <c r="K54" s="75"/>
      <c r="L54" s="74"/>
      <c r="M54" s="75"/>
      <c r="N54" s="74"/>
      <c r="O54" s="75"/>
      <c r="P54" s="74"/>
      <c r="Q54" s="75"/>
      <c r="R54" s="74"/>
      <c r="T54" s="74"/>
    </row>
    <row r="55" spans="1:20" x14ac:dyDescent="0.2">
      <c r="A55" s="203" t="s">
        <v>300</v>
      </c>
      <c r="B55" s="170"/>
      <c r="C55" s="170"/>
      <c r="E55" s="50"/>
      <c r="F55" s="74"/>
      <c r="G55" s="75"/>
      <c r="J55" s="74"/>
      <c r="K55" s="75"/>
      <c r="L55" s="74"/>
      <c r="M55" s="75"/>
      <c r="N55" s="74"/>
      <c r="O55" s="75"/>
      <c r="P55" s="74"/>
      <c r="Q55" s="75"/>
      <c r="R55" s="201">
        <v>1</v>
      </c>
      <c r="S55" s="92" t="s">
        <v>126</v>
      </c>
      <c r="T55" s="74"/>
    </row>
    <row r="56" spans="1:20" x14ac:dyDescent="0.2">
      <c r="A56" s="74" t="s">
        <v>283</v>
      </c>
      <c r="E56" s="50"/>
      <c r="F56" s="74"/>
      <c r="G56" s="75"/>
      <c r="J56" s="74"/>
      <c r="K56" s="75"/>
      <c r="L56" s="74"/>
      <c r="M56" s="75"/>
      <c r="N56" s="74"/>
      <c r="O56" s="75"/>
      <c r="P56" s="74"/>
      <c r="Q56" s="75"/>
      <c r="R56" s="201">
        <v>9</v>
      </c>
      <c r="S56" s="92" t="s">
        <v>126</v>
      </c>
      <c r="T56" s="74"/>
    </row>
    <row r="57" spans="1:20" ht="13.5" thickBot="1" x14ac:dyDescent="0.25">
      <c r="A57" s="83" t="s">
        <v>304</v>
      </c>
      <c r="B57" s="82"/>
      <c r="C57" s="82"/>
      <c r="D57" s="82"/>
      <c r="E57" s="82"/>
      <c r="F57" s="83"/>
      <c r="G57" s="84"/>
      <c r="H57" s="82"/>
      <c r="I57" s="82"/>
      <c r="J57" s="83"/>
      <c r="K57" s="84"/>
      <c r="L57" s="83"/>
      <c r="M57" s="84"/>
      <c r="N57" s="83"/>
      <c r="O57" s="84"/>
      <c r="P57" s="83"/>
      <c r="Q57" s="84"/>
      <c r="R57" s="205">
        <v>10</v>
      </c>
      <c r="S57" s="207" t="s">
        <v>126</v>
      </c>
      <c r="T57" s="74"/>
    </row>
    <row r="58" spans="1:20" ht="13.5" thickTop="1" x14ac:dyDescent="0.2">
      <c r="E58" s="50"/>
      <c r="F58" s="74"/>
      <c r="G58" s="75"/>
      <c r="J58" s="74"/>
      <c r="K58" s="75"/>
      <c r="L58" s="74"/>
      <c r="M58" s="75"/>
      <c r="N58" s="74"/>
      <c r="O58" s="75"/>
      <c r="P58" s="74"/>
      <c r="Q58" s="75"/>
      <c r="R58" s="74"/>
      <c r="T58" s="74"/>
    </row>
    <row r="59" spans="1:20" x14ac:dyDescent="0.2">
      <c r="A59" s="201" t="s">
        <v>304</v>
      </c>
      <c r="B59" s="92">
        <v>50</v>
      </c>
      <c r="C59" s="92" t="s">
        <v>298</v>
      </c>
      <c r="D59" s="202">
        <f>((1/608.7)*B59)*1000</f>
        <v>82.142270412354193</v>
      </c>
      <c r="E59" s="50" t="s">
        <v>299</v>
      </c>
      <c r="F59" s="74"/>
      <c r="G59" s="75"/>
      <c r="J59" s="74"/>
      <c r="K59" s="75"/>
      <c r="L59" s="74"/>
      <c r="M59" s="75"/>
      <c r="N59" s="74"/>
      <c r="O59" s="75"/>
      <c r="P59" s="74"/>
      <c r="Q59" s="75"/>
      <c r="R59" s="74"/>
      <c r="T59" s="74"/>
    </row>
    <row r="60" spans="1:20" x14ac:dyDescent="0.2">
      <c r="A60" s="203" t="s">
        <v>300</v>
      </c>
      <c r="B60" s="170"/>
      <c r="C60" s="170"/>
      <c r="E60" s="50"/>
      <c r="F60" s="74"/>
      <c r="G60" s="75"/>
      <c r="J60" s="201">
        <v>500</v>
      </c>
      <c r="K60" s="204" t="s">
        <v>120</v>
      </c>
      <c r="L60" s="74"/>
      <c r="M60" s="75"/>
      <c r="N60" s="74"/>
      <c r="O60" s="75"/>
      <c r="P60" s="74"/>
      <c r="Q60" s="75"/>
      <c r="R60" s="74"/>
      <c r="T60" s="74"/>
    </row>
    <row r="61" spans="1:20" x14ac:dyDescent="0.2">
      <c r="A61" s="74" t="s">
        <v>264</v>
      </c>
      <c r="E61" s="50"/>
      <c r="F61" s="74"/>
      <c r="G61" s="75"/>
      <c r="J61" s="201">
        <v>9.5</v>
      </c>
      <c r="K61" s="204" t="s">
        <v>126</v>
      </c>
      <c r="L61" s="74"/>
      <c r="M61" s="75"/>
      <c r="N61" s="74"/>
      <c r="O61" s="75"/>
      <c r="P61" s="74"/>
      <c r="Q61" s="75"/>
      <c r="R61" s="74"/>
      <c r="T61" s="74"/>
    </row>
    <row r="62" spans="1:20" ht="13.5" thickBot="1" x14ac:dyDescent="0.25">
      <c r="A62" s="83" t="s">
        <v>304</v>
      </c>
      <c r="B62" s="82"/>
      <c r="C62" s="82"/>
      <c r="D62" s="82"/>
      <c r="E62" s="82"/>
      <c r="F62" s="83"/>
      <c r="G62" s="84"/>
      <c r="H62" s="82"/>
      <c r="I62" s="82"/>
      <c r="J62" s="205">
        <v>10</v>
      </c>
      <c r="K62" s="206" t="s">
        <v>126</v>
      </c>
      <c r="L62" s="83"/>
      <c r="M62" s="84"/>
      <c r="N62" s="83"/>
      <c r="O62" s="84"/>
      <c r="P62" s="83"/>
      <c r="Q62" s="84"/>
      <c r="R62" s="83"/>
      <c r="S62" s="84"/>
      <c r="T62" s="74"/>
    </row>
    <row r="63" spans="1:20" ht="13.5" thickTop="1" x14ac:dyDescent="0.2"/>
  </sheetData>
  <hyperlinks>
    <hyperlink ref="E6" r:id="rId1"/>
    <hyperlink ref="E8" r:id="rId2"/>
    <hyperlink ref="E9" r:id="rId3"/>
    <hyperlink ref="E11" r:id="rId4"/>
    <hyperlink ref="E10" r:id="rId5"/>
  </hyperlinks>
  <pageMargins left="0.7" right="0.7" top="0.75" bottom="0.75" header="0.3" footer="0.3"/>
  <pageSetup scale="90" orientation="portrait" r:id="rId6"/>
  <headerFooter alignWithMargins="0">
    <oddHeader>&amp;L&amp;8&amp;Z&amp;F/&amp;F/&amp;A
&amp;D   &amp;T&amp;R&amp;8&amp;P of &amp;N</oddHeader>
  </headerFooter>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3"/>
  <sheetViews>
    <sheetView workbookViewId="0">
      <pane ySplit="4" topLeftCell="A5" activePane="bottomLeft" state="frozen"/>
      <selection pane="bottomLeft" activeCell="Z38" sqref="Z38"/>
    </sheetView>
  </sheetViews>
  <sheetFormatPr defaultRowHeight="12.75" x14ac:dyDescent="0.2"/>
  <cols>
    <col min="1" max="1" width="29.140625" style="40" customWidth="1"/>
    <col min="2" max="2" width="9" style="40" customWidth="1"/>
    <col min="3" max="3" width="8.7109375" style="40" customWidth="1"/>
    <col min="4" max="4" width="8.5703125" style="40" customWidth="1"/>
    <col min="5" max="5" width="13.85546875" style="40" customWidth="1"/>
    <col min="6" max="6" width="9.28515625" style="40" customWidth="1"/>
    <col min="7" max="7" width="3.85546875" style="40" customWidth="1"/>
    <col min="8" max="8" width="9.28515625" style="40" customWidth="1"/>
    <col min="9" max="9" width="4.5703125" style="40" customWidth="1"/>
    <col min="10" max="10" width="3.28515625" style="40" customWidth="1"/>
    <col min="11" max="11" width="3.7109375" style="40" customWidth="1"/>
    <col min="12" max="12" width="14.7109375" style="40" customWidth="1"/>
    <col min="13" max="256" width="9.140625" style="40"/>
    <col min="257" max="257" width="29.140625" style="40" customWidth="1"/>
    <col min="258" max="258" width="9" style="40" customWidth="1"/>
    <col min="259" max="259" width="8.7109375" style="40" customWidth="1"/>
    <col min="260" max="260" width="8.5703125" style="40" customWidth="1"/>
    <col min="261" max="261" width="13.85546875" style="40" customWidth="1"/>
    <col min="262" max="262" width="9.28515625" style="40" customWidth="1"/>
    <col min="263" max="263" width="3.85546875" style="40" customWidth="1"/>
    <col min="264" max="264" width="9.28515625" style="40" customWidth="1"/>
    <col min="265" max="265" width="4.5703125" style="40" customWidth="1"/>
    <col min="266" max="266" width="3.28515625" style="40" customWidth="1"/>
    <col min="267" max="267" width="3.7109375" style="40" customWidth="1"/>
    <col min="268" max="268" width="14.7109375" style="40" customWidth="1"/>
    <col min="269" max="512" width="9.140625" style="40"/>
    <col min="513" max="513" width="29.140625" style="40" customWidth="1"/>
    <col min="514" max="514" width="9" style="40" customWidth="1"/>
    <col min="515" max="515" width="8.7109375" style="40" customWidth="1"/>
    <col min="516" max="516" width="8.5703125" style="40" customWidth="1"/>
    <col min="517" max="517" width="13.85546875" style="40" customWidth="1"/>
    <col min="518" max="518" width="9.28515625" style="40" customWidth="1"/>
    <col min="519" max="519" width="3.85546875" style="40" customWidth="1"/>
    <col min="520" max="520" width="9.28515625" style="40" customWidth="1"/>
    <col min="521" max="521" width="4.5703125" style="40" customWidth="1"/>
    <col min="522" max="522" width="3.28515625" style="40" customWidth="1"/>
    <col min="523" max="523" width="3.7109375" style="40" customWidth="1"/>
    <col min="524" max="524" width="14.7109375" style="40" customWidth="1"/>
    <col min="525" max="768" width="9.140625" style="40"/>
    <col min="769" max="769" width="29.140625" style="40" customWidth="1"/>
    <col min="770" max="770" width="9" style="40" customWidth="1"/>
    <col min="771" max="771" width="8.7109375" style="40" customWidth="1"/>
    <col min="772" max="772" width="8.5703125" style="40" customWidth="1"/>
    <col min="773" max="773" width="13.85546875" style="40" customWidth="1"/>
    <col min="774" max="774" width="9.28515625" style="40" customWidth="1"/>
    <col min="775" max="775" width="3.85546875" style="40" customWidth="1"/>
    <col min="776" max="776" width="9.28515625" style="40" customWidth="1"/>
    <col min="777" max="777" width="4.5703125" style="40" customWidth="1"/>
    <col min="778" max="778" width="3.28515625" style="40" customWidth="1"/>
    <col min="779" max="779" width="3.7109375" style="40" customWidth="1"/>
    <col min="780" max="780" width="14.7109375" style="40" customWidth="1"/>
    <col min="781" max="1024" width="9.140625" style="40"/>
    <col min="1025" max="1025" width="29.140625" style="40" customWidth="1"/>
    <col min="1026" max="1026" width="9" style="40" customWidth="1"/>
    <col min="1027" max="1027" width="8.7109375" style="40" customWidth="1"/>
    <col min="1028" max="1028" width="8.5703125" style="40" customWidth="1"/>
    <col min="1029" max="1029" width="13.85546875" style="40" customWidth="1"/>
    <col min="1030" max="1030" width="9.28515625" style="40" customWidth="1"/>
    <col min="1031" max="1031" width="3.85546875" style="40" customWidth="1"/>
    <col min="1032" max="1032" width="9.28515625" style="40" customWidth="1"/>
    <col min="1033" max="1033" width="4.5703125" style="40" customWidth="1"/>
    <col min="1034" max="1034" width="3.28515625" style="40" customWidth="1"/>
    <col min="1035" max="1035" width="3.7109375" style="40" customWidth="1"/>
    <col min="1036" max="1036" width="14.7109375" style="40" customWidth="1"/>
    <col min="1037" max="1280" width="9.140625" style="40"/>
    <col min="1281" max="1281" width="29.140625" style="40" customWidth="1"/>
    <col min="1282" max="1282" width="9" style="40" customWidth="1"/>
    <col min="1283" max="1283" width="8.7109375" style="40" customWidth="1"/>
    <col min="1284" max="1284" width="8.5703125" style="40" customWidth="1"/>
    <col min="1285" max="1285" width="13.85546875" style="40" customWidth="1"/>
    <col min="1286" max="1286" width="9.28515625" style="40" customWidth="1"/>
    <col min="1287" max="1287" width="3.85546875" style="40" customWidth="1"/>
    <col min="1288" max="1288" width="9.28515625" style="40" customWidth="1"/>
    <col min="1289" max="1289" width="4.5703125" style="40" customWidth="1"/>
    <col min="1290" max="1290" width="3.28515625" style="40" customWidth="1"/>
    <col min="1291" max="1291" width="3.7109375" style="40" customWidth="1"/>
    <col min="1292" max="1292" width="14.7109375" style="40" customWidth="1"/>
    <col min="1293" max="1536" width="9.140625" style="40"/>
    <col min="1537" max="1537" width="29.140625" style="40" customWidth="1"/>
    <col min="1538" max="1538" width="9" style="40" customWidth="1"/>
    <col min="1539" max="1539" width="8.7109375" style="40" customWidth="1"/>
    <col min="1540" max="1540" width="8.5703125" style="40" customWidth="1"/>
    <col min="1541" max="1541" width="13.85546875" style="40" customWidth="1"/>
    <col min="1542" max="1542" width="9.28515625" style="40" customWidth="1"/>
    <col min="1543" max="1543" width="3.85546875" style="40" customWidth="1"/>
    <col min="1544" max="1544" width="9.28515625" style="40" customWidth="1"/>
    <col min="1545" max="1545" width="4.5703125" style="40" customWidth="1"/>
    <col min="1546" max="1546" width="3.28515625" style="40" customWidth="1"/>
    <col min="1547" max="1547" width="3.7109375" style="40" customWidth="1"/>
    <col min="1548" max="1548" width="14.7109375" style="40" customWidth="1"/>
    <col min="1549" max="1792" width="9.140625" style="40"/>
    <col min="1793" max="1793" width="29.140625" style="40" customWidth="1"/>
    <col min="1794" max="1794" width="9" style="40" customWidth="1"/>
    <col min="1795" max="1795" width="8.7109375" style="40" customWidth="1"/>
    <col min="1796" max="1796" width="8.5703125" style="40" customWidth="1"/>
    <col min="1797" max="1797" width="13.85546875" style="40" customWidth="1"/>
    <col min="1798" max="1798" width="9.28515625" style="40" customWidth="1"/>
    <col min="1799" max="1799" width="3.85546875" style="40" customWidth="1"/>
    <col min="1800" max="1800" width="9.28515625" style="40" customWidth="1"/>
    <col min="1801" max="1801" width="4.5703125" style="40" customWidth="1"/>
    <col min="1802" max="1802" width="3.28515625" style="40" customWidth="1"/>
    <col min="1803" max="1803" width="3.7109375" style="40" customWidth="1"/>
    <col min="1804" max="1804" width="14.7109375" style="40" customWidth="1"/>
    <col min="1805" max="2048" width="9.140625" style="40"/>
    <col min="2049" max="2049" width="29.140625" style="40" customWidth="1"/>
    <col min="2050" max="2050" width="9" style="40" customWidth="1"/>
    <col min="2051" max="2051" width="8.7109375" style="40" customWidth="1"/>
    <col min="2052" max="2052" width="8.5703125" style="40" customWidth="1"/>
    <col min="2053" max="2053" width="13.85546875" style="40" customWidth="1"/>
    <col min="2054" max="2054" width="9.28515625" style="40" customWidth="1"/>
    <col min="2055" max="2055" width="3.85546875" style="40" customWidth="1"/>
    <col min="2056" max="2056" width="9.28515625" style="40" customWidth="1"/>
    <col min="2057" max="2057" width="4.5703125" style="40" customWidth="1"/>
    <col min="2058" max="2058" width="3.28515625" style="40" customWidth="1"/>
    <col min="2059" max="2059" width="3.7109375" style="40" customWidth="1"/>
    <col min="2060" max="2060" width="14.7109375" style="40" customWidth="1"/>
    <col min="2061" max="2304" width="9.140625" style="40"/>
    <col min="2305" max="2305" width="29.140625" style="40" customWidth="1"/>
    <col min="2306" max="2306" width="9" style="40" customWidth="1"/>
    <col min="2307" max="2307" width="8.7109375" style="40" customWidth="1"/>
    <col min="2308" max="2308" width="8.5703125" style="40" customWidth="1"/>
    <col min="2309" max="2309" width="13.85546875" style="40" customWidth="1"/>
    <col min="2310" max="2310" width="9.28515625" style="40" customWidth="1"/>
    <col min="2311" max="2311" width="3.85546875" style="40" customWidth="1"/>
    <col min="2312" max="2312" width="9.28515625" style="40" customWidth="1"/>
    <col min="2313" max="2313" width="4.5703125" style="40" customWidth="1"/>
    <col min="2314" max="2314" width="3.28515625" style="40" customWidth="1"/>
    <col min="2315" max="2315" width="3.7109375" style="40" customWidth="1"/>
    <col min="2316" max="2316" width="14.7109375" style="40" customWidth="1"/>
    <col min="2317" max="2560" width="9.140625" style="40"/>
    <col min="2561" max="2561" width="29.140625" style="40" customWidth="1"/>
    <col min="2562" max="2562" width="9" style="40" customWidth="1"/>
    <col min="2563" max="2563" width="8.7109375" style="40" customWidth="1"/>
    <col min="2564" max="2564" width="8.5703125" style="40" customWidth="1"/>
    <col min="2565" max="2565" width="13.85546875" style="40" customWidth="1"/>
    <col min="2566" max="2566" width="9.28515625" style="40" customWidth="1"/>
    <col min="2567" max="2567" width="3.85546875" style="40" customWidth="1"/>
    <col min="2568" max="2568" width="9.28515625" style="40" customWidth="1"/>
    <col min="2569" max="2569" width="4.5703125" style="40" customWidth="1"/>
    <col min="2570" max="2570" width="3.28515625" style="40" customWidth="1"/>
    <col min="2571" max="2571" width="3.7109375" style="40" customWidth="1"/>
    <col min="2572" max="2572" width="14.7109375" style="40" customWidth="1"/>
    <col min="2573" max="2816" width="9.140625" style="40"/>
    <col min="2817" max="2817" width="29.140625" style="40" customWidth="1"/>
    <col min="2818" max="2818" width="9" style="40" customWidth="1"/>
    <col min="2819" max="2819" width="8.7109375" style="40" customWidth="1"/>
    <col min="2820" max="2820" width="8.5703125" style="40" customWidth="1"/>
    <col min="2821" max="2821" width="13.85546875" style="40" customWidth="1"/>
    <col min="2822" max="2822" width="9.28515625" style="40" customWidth="1"/>
    <col min="2823" max="2823" width="3.85546875" style="40" customWidth="1"/>
    <col min="2824" max="2824" width="9.28515625" style="40" customWidth="1"/>
    <col min="2825" max="2825" width="4.5703125" style="40" customWidth="1"/>
    <col min="2826" max="2826" width="3.28515625" style="40" customWidth="1"/>
    <col min="2827" max="2827" width="3.7109375" style="40" customWidth="1"/>
    <col min="2828" max="2828" width="14.7109375" style="40" customWidth="1"/>
    <col min="2829" max="3072" width="9.140625" style="40"/>
    <col min="3073" max="3073" width="29.140625" style="40" customWidth="1"/>
    <col min="3074" max="3074" width="9" style="40" customWidth="1"/>
    <col min="3075" max="3075" width="8.7109375" style="40" customWidth="1"/>
    <col min="3076" max="3076" width="8.5703125" style="40" customWidth="1"/>
    <col min="3077" max="3077" width="13.85546875" style="40" customWidth="1"/>
    <col min="3078" max="3078" width="9.28515625" style="40" customWidth="1"/>
    <col min="3079" max="3079" width="3.85546875" style="40" customWidth="1"/>
    <col min="3080" max="3080" width="9.28515625" style="40" customWidth="1"/>
    <col min="3081" max="3081" width="4.5703125" style="40" customWidth="1"/>
    <col min="3082" max="3082" width="3.28515625" style="40" customWidth="1"/>
    <col min="3083" max="3083" width="3.7109375" style="40" customWidth="1"/>
    <col min="3084" max="3084" width="14.7109375" style="40" customWidth="1"/>
    <col min="3085" max="3328" width="9.140625" style="40"/>
    <col min="3329" max="3329" width="29.140625" style="40" customWidth="1"/>
    <col min="3330" max="3330" width="9" style="40" customWidth="1"/>
    <col min="3331" max="3331" width="8.7109375" style="40" customWidth="1"/>
    <col min="3332" max="3332" width="8.5703125" style="40" customWidth="1"/>
    <col min="3333" max="3333" width="13.85546875" style="40" customWidth="1"/>
    <col min="3334" max="3334" width="9.28515625" style="40" customWidth="1"/>
    <col min="3335" max="3335" width="3.85546875" style="40" customWidth="1"/>
    <col min="3336" max="3336" width="9.28515625" style="40" customWidth="1"/>
    <col min="3337" max="3337" width="4.5703125" style="40" customWidth="1"/>
    <col min="3338" max="3338" width="3.28515625" style="40" customWidth="1"/>
    <col min="3339" max="3339" width="3.7109375" style="40" customWidth="1"/>
    <col min="3340" max="3340" width="14.7109375" style="40" customWidth="1"/>
    <col min="3341" max="3584" width="9.140625" style="40"/>
    <col min="3585" max="3585" width="29.140625" style="40" customWidth="1"/>
    <col min="3586" max="3586" width="9" style="40" customWidth="1"/>
    <col min="3587" max="3587" width="8.7109375" style="40" customWidth="1"/>
    <col min="3588" max="3588" width="8.5703125" style="40" customWidth="1"/>
    <col min="3589" max="3589" width="13.85546875" style="40" customWidth="1"/>
    <col min="3590" max="3590" width="9.28515625" style="40" customWidth="1"/>
    <col min="3591" max="3591" width="3.85546875" style="40" customWidth="1"/>
    <col min="3592" max="3592" width="9.28515625" style="40" customWidth="1"/>
    <col min="3593" max="3593" width="4.5703125" style="40" customWidth="1"/>
    <col min="3594" max="3594" width="3.28515625" style="40" customWidth="1"/>
    <col min="3595" max="3595" width="3.7109375" style="40" customWidth="1"/>
    <col min="3596" max="3596" width="14.7109375" style="40" customWidth="1"/>
    <col min="3597" max="3840" width="9.140625" style="40"/>
    <col min="3841" max="3841" width="29.140625" style="40" customWidth="1"/>
    <col min="3842" max="3842" width="9" style="40" customWidth="1"/>
    <col min="3843" max="3843" width="8.7109375" style="40" customWidth="1"/>
    <col min="3844" max="3844" width="8.5703125" style="40" customWidth="1"/>
    <col min="3845" max="3845" width="13.85546875" style="40" customWidth="1"/>
    <col min="3846" max="3846" width="9.28515625" style="40" customWidth="1"/>
    <col min="3847" max="3847" width="3.85546875" style="40" customWidth="1"/>
    <col min="3848" max="3848" width="9.28515625" style="40" customWidth="1"/>
    <col min="3849" max="3849" width="4.5703125" style="40" customWidth="1"/>
    <col min="3850" max="3850" width="3.28515625" style="40" customWidth="1"/>
    <col min="3851" max="3851" width="3.7109375" style="40" customWidth="1"/>
    <col min="3852" max="3852" width="14.7109375" style="40" customWidth="1"/>
    <col min="3853" max="4096" width="9.140625" style="40"/>
    <col min="4097" max="4097" width="29.140625" style="40" customWidth="1"/>
    <col min="4098" max="4098" width="9" style="40" customWidth="1"/>
    <col min="4099" max="4099" width="8.7109375" style="40" customWidth="1"/>
    <col min="4100" max="4100" width="8.5703125" style="40" customWidth="1"/>
    <col min="4101" max="4101" width="13.85546875" style="40" customWidth="1"/>
    <col min="4102" max="4102" width="9.28515625" style="40" customWidth="1"/>
    <col min="4103" max="4103" width="3.85546875" style="40" customWidth="1"/>
    <col min="4104" max="4104" width="9.28515625" style="40" customWidth="1"/>
    <col min="4105" max="4105" width="4.5703125" style="40" customWidth="1"/>
    <col min="4106" max="4106" width="3.28515625" style="40" customWidth="1"/>
    <col min="4107" max="4107" width="3.7109375" style="40" customWidth="1"/>
    <col min="4108" max="4108" width="14.7109375" style="40" customWidth="1"/>
    <col min="4109" max="4352" width="9.140625" style="40"/>
    <col min="4353" max="4353" width="29.140625" style="40" customWidth="1"/>
    <col min="4354" max="4354" width="9" style="40" customWidth="1"/>
    <col min="4355" max="4355" width="8.7109375" style="40" customWidth="1"/>
    <col min="4356" max="4356" width="8.5703125" style="40" customWidth="1"/>
    <col min="4357" max="4357" width="13.85546875" style="40" customWidth="1"/>
    <col min="4358" max="4358" width="9.28515625" style="40" customWidth="1"/>
    <col min="4359" max="4359" width="3.85546875" style="40" customWidth="1"/>
    <col min="4360" max="4360" width="9.28515625" style="40" customWidth="1"/>
    <col min="4361" max="4361" width="4.5703125" style="40" customWidth="1"/>
    <col min="4362" max="4362" width="3.28515625" style="40" customWidth="1"/>
    <col min="4363" max="4363" width="3.7109375" style="40" customWidth="1"/>
    <col min="4364" max="4364" width="14.7109375" style="40" customWidth="1"/>
    <col min="4365" max="4608" width="9.140625" style="40"/>
    <col min="4609" max="4609" width="29.140625" style="40" customWidth="1"/>
    <col min="4610" max="4610" width="9" style="40" customWidth="1"/>
    <col min="4611" max="4611" width="8.7109375" style="40" customWidth="1"/>
    <col min="4612" max="4612" width="8.5703125" style="40" customWidth="1"/>
    <col min="4613" max="4613" width="13.85546875" style="40" customWidth="1"/>
    <col min="4614" max="4614" width="9.28515625" style="40" customWidth="1"/>
    <col min="4615" max="4615" width="3.85546875" style="40" customWidth="1"/>
    <col min="4616" max="4616" width="9.28515625" style="40" customWidth="1"/>
    <col min="4617" max="4617" width="4.5703125" style="40" customWidth="1"/>
    <col min="4618" max="4618" width="3.28515625" style="40" customWidth="1"/>
    <col min="4619" max="4619" width="3.7109375" style="40" customWidth="1"/>
    <col min="4620" max="4620" width="14.7109375" style="40" customWidth="1"/>
    <col min="4621" max="4864" width="9.140625" style="40"/>
    <col min="4865" max="4865" width="29.140625" style="40" customWidth="1"/>
    <col min="4866" max="4866" width="9" style="40" customWidth="1"/>
    <col min="4867" max="4867" width="8.7109375" style="40" customWidth="1"/>
    <col min="4868" max="4868" width="8.5703125" style="40" customWidth="1"/>
    <col min="4869" max="4869" width="13.85546875" style="40" customWidth="1"/>
    <col min="4870" max="4870" width="9.28515625" style="40" customWidth="1"/>
    <col min="4871" max="4871" width="3.85546875" style="40" customWidth="1"/>
    <col min="4872" max="4872" width="9.28515625" style="40" customWidth="1"/>
    <col min="4873" max="4873" width="4.5703125" style="40" customWidth="1"/>
    <col min="4874" max="4874" width="3.28515625" style="40" customWidth="1"/>
    <col min="4875" max="4875" width="3.7109375" style="40" customWidth="1"/>
    <col min="4876" max="4876" width="14.7109375" style="40" customWidth="1"/>
    <col min="4877" max="5120" width="9.140625" style="40"/>
    <col min="5121" max="5121" width="29.140625" style="40" customWidth="1"/>
    <col min="5122" max="5122" width="9" style="40" customWidth="1"/>
    <col min="5123" max="5123" width="8.7109375" style="40" customWidth="1"/>
    <col min="5124" max="5124" width="8.5703125" style="40" customWidth="1"/>
    <col min="5125" max="5125" width="13.85546875" style="40" customWidth="1"/>
    <col min="5126" max="5126" width="9.28515625" style="40" customWidth="1"/>
    <col min="5127" max="5127" width="3.85546875" style="40" customWidth="1"/>
    <col min="5128" max="5128" width="9.28515625" style="40" customWidth="1"/>
    <col min="5129" max="5129" width="4.5703125" style="40" customWidth="1"/>
    <col min="5130" max="5130" width="3.28515625" style="40" customWidth="1"/>
    <col min="5131" max="5131" width="3.7109375" style="40" customWidth="1"/>
    <col min="5132" max="5132" width="14.7109375" style="40" customWidth="1"/>
    <col min="5133" max="5376" width="9.140625" style="40"/>
    <col min="5377" max="5377" width="29.140625" style="40" customWidth="1"/>
    <col min="5378" max="5378" width="9" style="40" customWidth="1"/>
    <col min="5379" max="5379" width="8.7109375" style="40" customWidth="1"/>
    <col min="5380" max="5380" width="8.5703125" style="40" customWidth="1"/>
    <col min="5381" max="5381" width="13.85546875" style="40" customWidth="1"/>
    <col min="5382" max="5382" width="9.28515625" style="40" customWidth="1"/>
    <col min="5383" max="5383" width="3.85546875" style="40" customWidth="1"/>
    <col min="5384" max="5384" width="9.28515625" style="40" customWidth="1"/>
    <col min="5385" max="5385" width="4.5703125" style="40" customWidth="1"/>
    <col min="5386" max="5386" width="3.28515625" style="40" customWidth="1"/>
    <col min="5387" max="5387" width="3.7109375" style="40" customWidth="1"/>
    <col min="5388" max="5388" width="14.7109375" style="40" customWidth="1"/>
    <col min="5389" max="5632" width="9.140625" style="40"/>
    <col min="5633" max="5633" width="29.140625" style="40" customWidth="1"/>
    <col min="5634" max="5634" width="9" style="40" customWidth="1"/>
    <col min="5635" max="5635" width="8.7109375" style="40" customWidth="1"/>
    <col min="5636" max="5636" width="8.5703125" style="40" customWidth="1"/>
    <col min="5637" max="5637" width="13.85546875" style="40" customWidth="1"/>
    <col min="5638" max="5638" width="9.28515625" style="40" customWidth="1"/>
    <col min="5639" max="5639" width="3.85546875" style="40" customWidth="1"/>
    <col min="5640" max="5640" width="9.28515625" style="40" customWidth="1"/>
    <col min="5641" max="5641" width="4.5703125" style="40" customWidth="1"/>
    <col min="5642" max="5642" width="3.28515625" style="40" customWidth="1"/>
    <col min="5643" max="5643" width="3.7109375" style="40" customWidth="1"/>
    <col min="5644" max="5644" width="14.7109375" style="40" customWidth="1"/>
    <col min="5645" max="5888" width="9.140625" style="40"/>
    <col min="5889" max="5889" width="29.140625" style="40" customWidth="1"/>
    <col min="5890" max="5890" width="9" style="40" customWidth="1"/>
    <col min="5891" max="5891" width="8.7109375" style="40" customWidth="1"/>
    <col min="5892" max="5892" width="8.5703125" style="40" customWidth="1"/>
    <col min="5893" max="5893" width="13.85546875" style="40" customWidth="1"/>
    <col min="5894" max="5894" width="9.28515625" style="40" customWidth="1"/>
    <col min="5895" max="5895" width="3.85546875" style="40" customWidth="1"/>
    <col min="5896" max="5896" width="9.28515625" style="40" customWidth="1"/>
    <col min="5897" max="5897" width="4.5703125" style="40" customWidth="1"/>
    <col min="5898" max="5898" width="3.28515625" style="40" customWidth="1"/>
    <col min="5899" max="5899" width="3.7109375" style="40" customWidth="1"/>
    <col min="5900" max="5900" width="14.7109375" style="40" customWidth="1"/>
    <col min="5901" max="6144" width="9.140625" style="40"/>
    <col min="6145" max="6145" width="29.140625" style="40" customWidth="1"/>
    <col min="6146" max="6146" width="9" style="40" customWidth="1"/>
    <col min="6147" max="6147" width="8.7109375" style="40" customWidth="1"/>
    <col min="6148" max="6148" width="8.5703125" style="40" customWidth="1"/>
    <col min="6149" max="6149" width="13.85546875" style="40" customWidth="1"/>
    <col min="6150" max="6150" width="9.28515625" style="40" customWidth="1"/>
    <col min="6151" max="6151" width="3.85546875" style="40" customWidth="1"/>
    <col min="6152" max="6152" width="9.28515625" style="40" customWidth="1"/>
    <col min="6153" max="6153" width="4.5703125" style="40" customWidth="1"/>
    <col min="6154" max="6154" width="3.28515625" style="40" customWidth="1"/>
    <col min="6155" max="6155" width="3.7109375" style="40" customWidth="1"/>
    <col min="6156" max="6156" width="14.7109375" style="40" customWidth="1"/>
    <col min="6157" max="6400" width="9.140625" style="40"/>
    <col min="6401" max="6401" width="29.140625" style="40" customWidth="1"/>
    <col min="6402" max="6402" width="9" style="40" customWidth="1"/>
    <col min="6403" max="6403" width="8.7109375" style="40" customWidth="1"/>
    <col min="6404" max="6404" width="8.5703125" style="40" customWidth="1"/>
    <col min="6405" max="6405" width="13.85546875" style="40" customWidth="1"/>
    <col min="6406" max="6406" width="9.28515625" style="40" customWidth="1"/>
    <col min="6407" max="6407" width="3.85546875" style="40" customWidth="1"/>
    <col min="6408" max="6408" width="9.28515625" style="40" customWidth="1"/>
    <col min="6409" max="6409" width="4.5703125" style="40" customWidth="1"/>
    <col min="6410" max="6410" width="3.28515625" style="40" customWidth="1"/>
    <col min="6411" max="6411" width="3.7109375" style="40" customWidth="1"/>
    <col min="6412" max="6412" width="14.7109375" style="40" customWidth="1"/>
    <col min="6413" max="6656" width="9.140625" style="40"/>
    <col min="6657" max="6657" width="29.140625" style="40" customWidth="1"/>
    <col min="6658" max="6658" width="9" style="40" customWidth="1"/>
    <col min="6659" max="6659" width="8.7109375" style="40" customWidth="1"/>
    <col min="6660" max="6660" width="8.5703125" style="40" customWidth="1"/>
    <col min="6661" max="6661" width="13.85546875" style="40" customWidth="1"/>
    <col min="6662" max="6662" width="9.28515625" style="40" customWidth="1"/>
    <col min="6663" max="6663" width="3.85546875" style="40" customWidth="1"/>
    <col min="6664" max="6664" width="9.28515625" style="40" customWidth="1"/>
    <col min="6665" max="6665" width="4.5703125" style="40" customWidth="1"/>
    <col min="6666" max="6666" width="3.28515625" style="40" customWidth="1"/>
    <col min="6667" max="6667" width="3.7109375" style="40" customWidth="1"/>
    <col min="6668" max="6668" width="14.7109375" style="40" customWidth="1"/>
    <col min="6669" max="6912" width="9.140625" style="40"/>
    <col min="6913" max="6913" width="29.140625" style="40" customWidth="1"/>
    <col min="6914" max="6914" width="9" style="40" customWidth="1"/>
    <col min="6915" max="6915" width="8.7109375" style="40" customWidth="1"/>
    <col min="6916" max="6916" width="8.5703125" style="40" customWidth="1"/>
    <col min="6917" max="6917" width="13.85546875" style="40" customWidth="1"/>
    <col min="6918" max="6918" width="9.28515625" style="40" customWidth="1"/>
    <col min="6919" max="6919" width="3.85546875" style="40" customWidth="1"/>
    <col min="6920" max="6920" width="9.28515625" style="40" customWidth="1"/>
    <col min="6921" max="6921" width="4.5703125" style="40" customWidth="1"/>
    <col min="6922" max="6922" width="3.28515625" style="40" customWidth="1"/>
    <col min="6923" max="6923" width="3.7109375" style="40" customWidth="1"/>
    <col min="6924" max="6924" width="14.7109375" style="40" customWidth="1"/>
    <col min="6925" max="7168" width="9.140625" style="40"/>
    <col min="7169" max="7169" width="29.140625" style="40" customWidth="1"/>
    <col min="7170" max="7170" width="9" style="40" customWidth="1"/>
    <col min="7171" max="7171" width="8.7109375" style="40" customWidth="1"/>
    <col min="7172" max="7172" width="8.5703125" style="40" customWidth="1"/>
    <col min="7173" max="7173" width="13.85546875" style="40" customWidth="1"/>
    <col min="7174" max="7174" width="9.28515625" style="40" customWidth="1"/>
    <col min="7175" max="7175" width="3.85546875" style="40" customWidth="1"/>
    <col min="7176" max="7176" width="9.28515625" style="40" customWidth="1"/>
    <col min="7177" max="7177" width="4.5703125" style="40" customWidth="1"/>
    <col min="7178" max="7178" width="3.28515625" style="40" customWidth="1"/>
    <col min="7179" max="7179" width="3.7109375" style="40" customWidth="1"/>
    <col min="7180" max="7180" width="14.7109375" style="40" customWidth="1"/>
    <col min="7181" max="7424" width="9.140625" style="40"/>
    <col min="7425" max="7425" width="29.140625" style="40" customWidth="1"/>
    <col min="7426" max="7426" width="9" style="40" customWidth="1"/>
    <col min="7427" max="7427" width="8.7109375" style="40" customWidth="1"/>
    <col min="7428" max="7428" width="8.5703125" style="40" customWidth="1"/>
    <col min="7429" max="7429" width="13.85546875" style="40" customWidth="1"/>
    <col min="7430" max="7430" width="9.28515625" style="40" customWidth="1"/>
    <col min="7431" max="7431" width="3.85546875" style="40" customWidth="1"/>
    <col min="7432" max="7432" width="9.28515625" style="40" customWidth="1"/>
    <col min="7433" max="7433" width="4.5703125" style="40" customWidth="1"/>
    <col min="7434" max="7434" width="3.28515625" style="40" customWidth="1"/>
    <col min="7435" max="7435" width="3.7109375" style="40" customWidth="1"/>
    <col min="7436" max="7436" width="14.7109375" style="40" customWidth="1"/>
    <col min="7437" max="7680" width="9.140625" style="40"/>
    <col min="7681" max="7681" width="29.140625" style="40" customWidth="1"/>
    <col min="7682" max="7682" width="9" style="40" customWidth="1"/>
    <col min="7683" max="7683" width="8.7109375" style="40" customWidth="1"/>
    <col min="7684" max="7684" width="8.5703125" style="40" customWidth="1"/>
    <col min="7685" max="7685" width="13.85546875" style="40" customWidth="1"/>
    <col min="7686" max="7686" width="9.28515625" style="40" customWidth="1"/>
    <col min="7687" max="7687" width="3.85546875" style="40" customWidth="1"/>
    <col min="7688" max="7688" width="9.28515625" style="40" customWidth="1"/>
    <col min="7689" max="7689" width="4.5703125" style="40" customWidth="1"/>
    <col min="7690" max="7690" width="3.28515625" style="40" customWidth="1"/>
    <col min="7691" max="7691" width="3.7109375" style="40" customWidth="1"/>
    <col min="7692" max="7692" width="14.7109375" style="40" customWidth="1"/>
    <col min="7693" max="7936" width="9.140625" style="40"/>
    <col min="7937" max="7937" width="29.140625" style="40" customWidth="1"/>
    <col min="7938" max="7938" width="9" style="40" customWidth="1"/>
    <col min="7939" max="7939" width="8.7109375" style="40" customWidth="1"/>
    <col min="7940" max="7940" width="8.5703125" style="40" customWidth="1"/>
    <col min="7941" max="7941" width="13.85546875" style="40" customWidth="1"/>
    <col min="7942" max="7942" width="9.28515625" style="40" customWidth="1"/>
    <col min="7943" max="7943" width="3.85546875" style="40" customWidth="1"/>
    <col min="7944" max="7944" width="9.28515625" style="40" customWidth="1"/>
    <col min="7945" max="7945" width="4.5703125" style="40" customWidth="1"/>
    <col min="7946" max="7946" width="3.28515625" style="40" customWidth="1"/>
    <col min="7947" max="7947" width="3.7109375" style="40" customWidth="1"/>
    <col min="7948" max="7948" width="14.7109375" style="40" customWidth="1"/>
    <col min="7949" max="8192" width="9.140625" style="40"/>
    <col min="8193" max="8193" width="29.140625" style="40" customWidth="1"/>
    <col min="8194" max="8194" width="9" style="40" customWidth="1"/>
    <col min="8195" max="8195" width="8.7109375" style="40" customWidth="1"/>
    <col min="8196" max="8196" width="8.5703125" style="40" customWidth="1"/>
    <col min="8197" max="8197" width="13.85546875" style="40" customWidth="1"/>
    <col min="8198" max="8198" width="9.28515625" style="40" customWidth="1"/>
    <col min="8199" max="8199" width="3.85546875" style="40" customWidth="1"/>
    <col min="8200" max="8200" width="9.28515625" style="40" customWidth="1"/>
    <col min="8201" max="8201" width="4.5703125" style="40" customWidth="1"/>
    <col min="8202" max="8202" width="3.28515625" style="40" customWidth="1"/>
    <col min="8203" max="8203" width="3.7109375" style="40" customWidth="1"/>
    <col min="8204" max="8204" width="14.7109375" style="40" customWidth="1"/>
    <col min="8205" max="8448" width="9.140625" style="40"/>
    <col min="8449" max="8449" width="29.140625" style="40" customWidth="1"/>
    <col min="8450" max="8450" width="9" style="40" customWidth="1"/>
    <col min="8451" max="8451" width="8.7109375" style="40" customWidth="1"/>
    <col min="8452" max="8452" width="8.5703125" style="40" customWidth="1"/>
    <col min="8453" max="8453" width="13.85546875" style="40" customWidth="1"/>
    <col min="8454" max="8454" width="9.28515625" style="40" customWidth="1"/>
    <col min="8455" max="8455" width="3.85546875" style="40" customWidth="1"/>
    <col min="8456" max="8456" width="9.28515625" style="40" customWidth="1"/>
    <col min="8457" max="8457" width="4.5703125" style="40" customWidth="1"/>
    <col min="8458" max="8458" width="3.28515625" style="40" customWidth="1"/>
    <col min="8459" max="8459" width="3.7109375" style="40" customWidth="1"/>
    <col min="8460" max="8460" width="14.7109375" style="40" customWidth="1"/>
    <col min="8461" max="8704" width="9.140625" style="40"/>
    <col min="8705" max="8705" width="29.140625" style="40" customWidth="1"/>
    <col min="8706" max="8706" width="9" style="40" customWidth="1"/>
    <col min="8707" max="8707" width="8.7109375" style="40" customWidth="1"/>
    <col min="8708" max="8708" width="8.5703125" style="40" customWidth="1"/>
    <col min="8709" max="8709" width="13.85546875" style="40" customWidth="1"/>
    <col min="8710" max="8710" width="9.28515625" style="40" customWidth="1"/>
    <col min="8711" max="8711" width="3.85546875" style="40" customWidth="1"/>
    <col min="8712" max="8712" width="9.28515625" style="40" customWidth="1"/>
    <col min="8713" max="8713" width="4.5703125" style="40" customWidth="1"/>
    <col min="8714" max="8714" width="3.28515625" style="40" customWidth="1"/>
    <col min="8715" max="8715" width="3.7109375" style="40" customWidth="1"/>
    <col min="8716" max="8716" width="14.7109375" style="40" customWidth="1"/>
    <col min="8717" max="8960" width="9.140625" style="40"/>
    <col min="8961" max="8961" width="29.140625" style="40" customWidth="1"/>
    <col min="8962" max="8962" width="9" style="40" customWidth="1"/>
    <col min="8963" max="8963" width="8.7109375" style="40" customWidth="1"/>
    <col min="8964" max="8964" width="8.5703125" style="40" customWidth="1"/>
    <col min="8965" max="8965" width="13.85546875" style="40" customWidth="1"/>
    <col min="8966" max="8966" width="9.28515625" style="40" customWidth="1"/>
    <col min="8967" max="8967" width="3.85546875" style="40" customWidth="1"/>
    <col min="8968" max="8968" width="9.28515625" style="40" customWidth="1"/>
    <col min="8969" max="8969" width="4.5703125" style="40" customWidth="1"/>
    <col min="8970" max="8970" width="3.28515625" style="40" customWidth="1"/>
    <col min="8971" max="8971" width="3.7109375" style="40" customWidth="1"/>
    <col min="8972" max="8972" width="14.7109375" style="40" customWidth="1"/>
    <col min="8973" max="9216" width="9.140625" style="40"/>
    <col min="9217" max="9217" width="29.140625" style="40" customWidth="1"/>
    <col min="9218" max="9218" width="9" style="40" customWidth="1"/>
    <col min="9219" max="9219" width="8.7109375" style="40" customWidth="1"/>
    <col min="9220" max="9220" width="8.5703125" style="40" customWidth="1"/>
    <col min="9221" max="9221" width="13.85546875" style="40" customWidth="1"/>
    <col min="9222" max="9222" width="9.28515625" style="40" customWidth="1"/>
    <col min="9223" max="9223" width="3.85546875" style="40" customWidth="1"/>
    <col min="9224" max="9224" width="9.28515625" style="40" customWidth="1"/>
    <col min="9225" max="9225" width="4.5703125" style="40" customWidth="1"/>
    <col min="9226" max="9226" width="3.28515625" style="40" customWidth="1"/>
    <col min="9227" max="9227" width="3.7109375" style="40" customWidth="1"/>
    <col min="9228" max="9228" width="14.7109375" style="40" customWidth="1"/>
    <col min="9229" max="9472" width="9.140625" style="40"/>
    <col min="9473" max="9473" width="29.140625" style="40" customWidth="1"/>
    <col min="9474" max="9474" width="9" style="40" customWidth="1"/>
    <col min="9475" max="9475" width="8.7109375" style="40" customWidth="1"/>
    <col min="9476" max="9476" width="8.5703125" style="40" customWidth="1"/>
    <col min="9477" max="9477" width="13.85546875" style="40" customWidth="1"/>
    <col min="9478" max="9478" width="9.28515625" style="40" customWidth="1"/>
    <col min="9479" max="9479" width="3.85546875" style="40" customWidth="1"/>
    <col min="9480" max="9480" width="9.28515625" style="40" customWidth="1"/>
    <col min="9481" max="9481" width="4.5703125" style="40" customWidth="1"/>
    <col min="9482" max="9482" width="3.28515625" style="40" customWidth="1"/>
    <col min="9483" max="9483" width="3.7109375" style="40" customWidth="1"/>
    <col min="9484" max="9484" width="14.7109375" style="40" customWidth="1"/>
    <col min="9485" max="9728" width="9.140625" style="40"/>
    <col min="9729" max="9729" width="29.140625" style="40" customWidth="1"/>
    <col min="9730" max="9730" width="9" style="40" customWidth="1"/>
    <col min="9731" max="9731" width="8.7109375" style="40" customWidth="1"/>
    <col min="9732" max="9732" width="8.5703125" style="40" customWidth="1"/>
    <col min="9733" max="9733" width="13.85546875" style="40" customWidth="1"/>
    <col min="9734" max="9734" width="9.28515625" style="40" customWidth="1"/>
    <col min="9735" max="9735" width="3.85546875" style="40" customWidth="1"/>
    <col min="9736" max="9736" width="9.28515625" style="40" customWidth="1"/>
    <col min="9737" max="9737" width="4.5703125" style="40" customWidth="1"/>
    <col min="9738" max="9738" width="3.28515625" style="40" customWidth="1"/>
    <col min="9739" max="9739" width="3.7109375" style="40" customWidth="1"/>
    <col min="9740" max="9740" width="14.7109375" style="40" customWidth="1"/>
    <col min="9741" max="9984" width="9.140625" style="40"/>
    <col min="9985" max="9985" width="29.140625" style="40" customWidth="1"/>
    <col min="9986" max="9986" width="9" style="40" customWidth="1"/>
    <col min="9987" max="9987" width="8.7109375" style="40" customWidth="1"/>
    <col min="9988" max="9988" width="8.5703125" style="40" customWidth="1"/>
    <col min="9989" max="9989" width="13.85546875" style="40" customWidth="1"/>
    <col min="9990" max="9990" width="9.28515625" style="40" customWidth="1"/>
    <col min="9991" max="9991" width="3.85546875" style="40" customWidth="1"/>
    <col min="9992" max="9992" width="9.28515625" style="40" customWidth="1"/>
    <col min="9993" max="9993" width="4.5703125" style="40" customWidth="1"/>
    <col min="9994" max="9994" width="3.28515625" style="40" customWidth="1"/>
    <col min="9995" max="9995" width="3.7109375" style="40" customWidth="1"/>
    <col min="9996" max="9996" width="14.7109375" style="40" customWidth="1"/>
    <col min="9997" max="10240" width="9.140625" style="40"/>
    <col min="10241" max="10241" width="29.140625" style="40" customWidth="1"/>
    <col min="10242" max="10242" width="9" style="40" customWidth="1"/>
    <col min="10243" max="10243" width="8.7109375" style="40" customWidth="1"/>
    <col min="10244" max="10244" width="8.5703125" style="40" customWidth="1"/>
    <col min="10245" max="10245" width="13.85546875" style="40" customWidth="1"/>
    <col min="10246" max="10246" width="9.28515625" style="40" customWidth="1"/>
    <col min="10247" max="10247" width="3.85546875" style="40" customWidth="1"/>
    <col min="10248" max="10248" width="9.28515625" style="40" customWidth="1"/>
    <col min="10249" max="10249" width="4.5703125" style="40" customWidth="1"/>
    <col min="10250" max="10250" width="3.28515625" style="40" customWidth="1"/>
    <col min="10251" max="10251" width="3.7109375" style="40" customWidth="1"/>
    <col min="10252" max="10252" width="14.7109375" style="40" customWidth="1"/>
    <col min="10253" max="10496" width="9.140625" style="40"/>
    <col min="10497" max="10497" width="29.140625" style="40" customWidth="1"/>
    <col min="10498" max="10498" width="9" style="40" customWidth="1"/>
    <col min="10499" max="10499" width="8.7109375" style="40" customWidth="1"/>
    <col min="10500" max="10500" width="8.5703125" style="40" customWidth="1"/>
    <col min="10501" max="10501" width="13.85546875" style="40" customWidth="1"/>
    <col min="10502" max="10502" width="9.28515625" style="40" customWidth="1"/>
    <col min="10503" max="10503" width="3.85546875" style="40" customWidth="1"/>
    <col min="10504" max="10504" width="9.28515625" style="40" customWidth="1"/>
    <col min="10505" max="10505" width="4.5703125" style="40" customWidth="1"/>
    <col min="10506" max="10506" width="3.28515625" style="40" customWidth="1"/>
    <col min="10507" max="10507" width="3.7109375" style="40" customWidth="1"/>
    <col min="10508" max="10508" width="14.7109375" style="40" customWidth="1"/>
    <col min="10509" max="10752" width="9.140625" style="40"/>
    <col min="10753" max="10753" width="29.140625" style="40" customWidth="1"/>
    <col min="10754" max="10754" width="9" style="40" customWidth="1"/>
    <col min="10755" max="10755" width="8.7109375" style="40" customWidth="1"/>
    <col min="10756" max="10756" width="8.5703125" style="40" customWidth="1"/>
    <col min="10757" max="10757" width="13.85546875" style="40" customWidth="1"/>
    <col min="10758" max="10758" width="9.28515625" style="40" customWidth="1"/>
    <col min="10759" max="10759" width="3.85546875" style="40" customWidth="1"/>
    <col min="10760" max="10760" width="9.28515625" style="40" customWidth="1"/>
    <col min="10761" max="10761" width="4.5703125" style="40" customWidth="1"/>
    <col min="10762" max="10762" width="3.28515625" style="40" customWidth="1"/>
    <col min="10763" max="10763" width="3.7109375" style="40" customWidth="1"/>
    <col min="10764" max="10764" width="14.7109375" style="40" customWidth="1"/>
    <col min="10765" max="11008" width="9.140625" style="40"/>
    <col min="11009" max="11009" width="29.140625" style="40" customWidth="1"/>
    <col min="11010" max="11010" width="9" style="40" customWidth="1"/>
    <col min="11011" max="11011" width="8.7109375" style="40" customWidth="1"/>
    <col min="11012" max="11012" width="8.5703125" style="40" customWidth="1"/>
    <col min="11013" max="11013" width="13.85546875" style="40" customWidth="1"/>
    <col min="11014" max="11014" width="9.28515625" style="40" customWidth="1"/>
    <col min="11015" max="11015" width="3.85546875" style="40" customWidth="1"/>
    <col min="11016" max="11016" width="9.28515625" style="40" customWidth="1"/>
    <col min="11017" max="11017" width="4.5703125" style="40" customWidth="1"/>
    <col min="11018" max="11018" width="3.28515625" style="40" customWidth="1"/>
    <col min="11019" max="11019" width="3.7109375" style="40" customWidth="1"/>
    <col min="11020" max="11020" width="14.7109375" style="40" customWidth="1"/>
    <col min="11021" max="11264" width="9.140625" style="40"/>
    <col min="11265" max="11265" width="29.140625" style="40" customWidth="1"/>
    <col min="11266" max="11266" width="9" style="40" customWidth="1"/>
    <col min="11267" max="11267" width="8.7109375" style="40" customWidth="1"/>
    <col min="11268" max="11268" width="8.5703125" style="40" customWidth="1"/>
    <col min="11269" max="11269" width="13.85546875" style="40" customWidth="1"/>
    <col min="11270" max="11270" width="9.28515625" style="40" customWidth="1"/>
    <col min="11271" max="11271" width="3.85546875" style="40" customWidth="1"/>
    <col min="11272" max="11272" width="9.28515625" style="40" customWidth="1"/>
    <col min="11273" max="11273" width="4.5703125" style="40" customWidth="1"/>
    <col min="11274" max="11274" width="3.28515625" style="40" customWidth="1"/>
    <col min="11275" max="11275" width="3.7109375" style="40" customWidth="1"/>
    <col min="11276" max="11276" width="14.7109375" style="40" customWidth="1"/>
    <col min="11277" max="11520" width="9.140625" style="40"/>
    <col min="11521" max="11521" width="29.140625" style="40" customWidth="1"/>
    <col min="11522" max="11522" width="9" style="40" customWidth="1"/>
    <col min="11523" max="11523" width="8.7109375" style="40" customWidth="1"/>
    <col min="11524" max="11524" width="8.5703125" style="40" customWidth="1"/>
    <col min="11525" max="11525" width="13.85546875" style="40" customWidth="1"/>
    <col min="11526" max="11526" width="9.28515625" style="40" customWidth="1"/>
    <col min="11527" max="11527" width="3.85546875" style="40" customWidth="1"/>
    <col min="11528" max="11528" width="9.28515625" style="40" customWidth="1"/>
    <col min="11529" max="11529" width="4.5703125" style="40" customWidth="1"/>
    <col min="11530" max="11530" width="3.28515625" style="40" customWidth="1"/>
    <col min="11531" max="11531" width="3.7109375" style="40" customWidth="1"/>
    <col min="11532" max="11532" width="14.7109375" style="40" customWidth="1"/>
    <col min="11533" max="11776" width="9.140625" style="40"/>
    <col min="11777" max="11777" width="29.140625" style="40" customWidth="1"/>
    <col min="11778" max="11778" width="9" style="40" customWidth="1"/>
    <col min="11779" max="11779" width="8.7109375" style="40" customWidth="1"/>
    <col min="11780" max="11780" width="8.5703125" style="40" customWidth="1"/>
    <col min="11781" max="11781" width="13.85546875" style="40" customWidth="1"/>
    <col min="11782" max="11782" width="9.28515625" style="40" customWidth="1"/>
    <col min="11783" max="11783" width="3.85546875" style="40" customWidth="1"/>
    <col min="11784" max="11784" width="9.28515625" style="40" customWidth="1"/>
    <col min="11785" max="11785" width="4.5703125" style="40" customWidth="1"/>
    <col min="11786" max="11786" width="3.28515625" style="40" customWidth="1"/>
    <col min="11787" max="11787" width="3.7109375" style="40" customWidth="1"/>
    <col min="11788" max="11788" width="14.7109375" style="40" customWidth="1"/>
    <col min="11789" max="12032" width="9.140625" style="40"/>
    <col min="12033" max="12033" width="29.140625" style="40" customWidth="1"/>
    <col min="12034" max="12034" width="9" style="40" customWidth="1"/>
    <col min="12035" max="12035" width="8.7109375" style="40" customWidth="1"/>
    <col min="12036" max="12036" width="8.5703125" style="40" customWidth="1"/>
    <col min="12037" max="12037" width="13.85546875" style="40" customWidth="1"/>
    <col min="12038" max="12038" width="9.28515625" style="40" customWidth="1"/>
    <col min="12039" max="12039" width="3.85546875" style="40" customWidth="1"/>
    <col min="12040" max="12040" width="9.28515625" style="40" customWidth="1"/>
    <col min="12041" max="12041" width="4.5703125" style="40" customWidth="1"/>
    <col min="12042" max="12042" width="3.28515625" style="40" customWidth="1"/>
    <col min="12043" max="12043" width="3.7109375" style="40" customWidth="1"/>
    <col min="12044" max="12044" width="14.7109375" style="40" customWidth="1"/>
    <col min="12045" max="12288" width="9.140625" style="40"/>
    <col min="12289" max="12289" width="29.140625" style="40" customWidth="1"/>
    <col min="12290" max="12290" width="9" style="40" customWidth="1"/>
    <col min="12291" max="12291" width="8.7109375" style="40" customWidth="1"/>
    <col min="12292" max="12292" width="8.5703125" style="40" customWidth="1"/>
    <col min="12293" max="12293" width="13.85546875" style="40" customWidth="1"/>
    <col min="12294" max="12294" width="9.28515625" style="40" customWidth="1"/>
    <col min="12295" max="12295" width="3.85546875" style="40" customWidth="1"/>
    <col min="12296" max="12296" width="9.28515625" style="40" customWidth="1"/>
    <col min="12297" max="12297" width="4.5703125" style="40" customWidth="1"/>
    <col min="12298" max="12298" width="3.28515625" style="40" customWidth="1"/>
    <col min="12299" max="12299" width="3.7109375" style="40" customWidth="1"/>
    <col min="12300" max="12300" width="14.7109375" style="40" customWidth="1"/>
    <col min="12301" max="12544" width="9.140625" style="40"/>
    <col min="12545" max="12545" width="29.140625" style="40" customWidth="1"/>
    <col min="12546" max="12546" width="9" style="40" customWidth="1"/>
    <col min="12547" max="12547" width="8.7109375" style="40" customWidth="1"/>
    <col min="12548" max="12548" width="8.5703125" style="40" customWidth="1"/>
    <col min="12549" max="12549" width="13.85546875" style="40" customWidth="1"/>
    <col min="12550" max="12550" width="9.28515625" style="40" customWidth="1"/>
    <col min="12551" max="12551" width="3.85546875" style="40" customWidth="1"/>
    <col min="12552" max="12552" width="9.28515625" style="40" customWidth="1"/>
    <col min="12553" max="12553" width="4.5703125" style="40" customWidth="1"/>
    <col min="12554" max="12554" width="3.28515625" style="40" customWidth="1"/>
    <col min="12555" max="12555" width="3.7109375" style="40" customWidth="1"/>
    <col min="12556" max="12556" width="14.7109375" style="40" customWidth="1"/>
    <col min="12557" max="12800" width="9.140625" style="40"/>
    <col min="12801" max="12801" width="29.140625" style="40" customWidth="1"/>
    <col min="12802" max="12802" width="9" style="40" customWidth="1"/>
    <col min="12803" max="12803" width="8.7109375" style="40" customWidth="1"/>
    <col min="12804" max="12804" width="8.5703125" style="40" customWidth="1"/>
    <col min="12805" max="12805" width="13.85546875" style="40" customWidth="1"/>
    <col min="12806" max="12806" width="9.28515625" style="40" customWidth="1"/>
    <col min="12807" max="12807" width="3.85546875" style="40" customWidth="1"/>
    <col min="12808" max="12808" width="9.28515625" style="40" customWidth="1"/>
    <col min="12809" max="12809" width="4.5703125" style="40" customWidth="1"/>
    <col min="12810" max="12810" width="3.28515625" style="40" customWidth="1"/>
    <col min="12811" max="12811" width="3.7109375" style="40" customWidth="1"/>
    <col min="12812" max="12812" width="14.7109375" style="40" customWidth="1"/>
    <col min="12813" max="13056" width="9.140625" style="40"/>
    <col min="13057" max="13057" width="29.140625" style="40" customWidth="1"/>
    <col min="13058" max="13058" width="9" style="40" customWidth="1"/>
    <col min="13059" max="13059" width="8.7109375" style="40" customWidth="1"/>
    <col min="13060" max="13060" width="8.5703125" style="40" customWidth="1"/>
    <col min="13061" max="13061" width="13.85546875" style="40" customWidth="1"/>
    <col min="13062" max="13062" width="9.28515625" style="40" customWidth="1"/>
    <col min="13063" max="13063" width="3.85546875" style="40" customWidth="1"/>
    <col min="13064" max="13064" width="9.28515625" style="40" customWidth="1"/>
    <col min="13065" max="13065" width="4.5703125" style="40" customWidth="1"/>
    <col min="13066" max="13066" width="3.28515625" style="40" customWidth="1"/>
    <col min="13067" max="13067" width="3.7109375" style="40" customWidth="1"/>
    <col min="13068" max="13068" width="14.7109375" style="40" customWidth="1"/>
    <col min="13069" max="13312" width="9.140625" style="40"/>
    <col min="13313" max="13313" width="29.140625" style="40" customWidth="1"/>
    <col min="13314" max="13314" width="9" style="40" customWidth="1"/>
    <col min="13315" max="13315" width="8.7109375" style="40" customWidth="1"/>
    <col min="13316" max="13316" width="8.5703125" style="40" customWidth="1"/>
    <col min="13317" max="13317" width="13.85546875" style="40" customWidth="1"/>
    <col min="13318" max="13318" width="9.28515625" style="40" customWidth="1"/>
    <col min="13319" max="13319" width="3.85546875" style="40" customWidth="1"/>
    <col min="13320" max="13320" width="9.28515625" style="40" customWidth="1"/>
    <col min="13321" max="13321" width="4.5703125" style="40" customWidth="1"/>
    <col min="13322" max="13322" width="3.28515625" style="40" customWidth="1"/>
    <col min="13323" max="13323" width="3.7109375" style="40" customWidth="1"/>
    <col min="13324" max="13324" width="14.7109375" style="40" customWidth="1"/>
    <col min="13325" max="13568" width="9.140625" style="40"/>
    <col min="13569" max="13569" width="29.140625" style="40" customWidth="1"/>
    <col min="13570" max="13570" width="9" style="40" customWidth="1"/>
    <col min="13571" max="13571" width="8.7109375" style="40" customWidth="1"/>
    <col min="13572" max="13572" width="8.5703125" style="40" customWidth="1"/>
    <col min="13573" max="13573" width="13.85546875" style="40" customWidth="1"/>
    <col min="13574" max="13574" width="9.28515625" style="40" customWidth="1"/>
    <col min="13575" max="13575" width="3.85546875" style="40" customWidth="1"/>
    <col min="13576" max="13576" width="9.28515625" style="40" customWidth="1"/>
    <col min="13577" max="13577" width="4.5703125" style="40" customWidth="1"/>
    <col min="13578" max="13578" width="3.28515625" style="40" customWidth="1"/>
    <col min="13579" max="13579" width="3.7109375" style="40" customWidth="1"/>
    <col min="13580" max="13580" width="14.7109375" style="40" customWidth="1"/>
    <col min="13581" max="13824" width="9.140625" style="40"/>
    <col min="13825" max="13825" width="29.140625" style="40" customWidth="1"/>
    <col min="13826" max="13826" width="9" style="40" customWidth="1"/>
    <col min="13827" max="13827" width="8.7109375" style="40" customWidth="1"/>
    <col min="13828" max="13828" width="8.5703125" style="40" customWidth="1"/>
    <col min="13829" max="13829" width="13.85546875" style="40" customWidth="1"/>
    <col min="13830" max="13830" width="9.28515625" style="40" customWidth="1"/>
    <col min="13831" max="13831" width="3.85546875" style="40" customWidth="1"/>
    <col min="13832" max="13832" width="9.28515625" style="40" customWidth="1"/>
    <col min="13833" max="13833" width="4.5703125" style="40" customWidth="1"/>
    <col min="13834" max="13834" width="3.28515625" style="40" customWidth="1"/>
    <col min="13835" max="13835" width="3.7109375" style="40" customWidth="1"/>
    <col min="13836" max="13836" width="14.7109375" style="40" customWidth="1"/>
    <col min="13837" max="14080" width="9.140625" style="40"/>
    <col min="14081" max="14081" width="29.140625" style="40" customWidth="1"/>
    <col min="14082" max="14082" width="9" style="40" customWidth="1"/>
    <col min="14083" max="14083" width="8.7109375" style="40" customWidth="1"/>
    <col min="14084" max="14084" width="8.5703125" style="40" customWidth="1"/>
    <col min="14085" max="14085" width="13.85546875" style="40" customWidth="1"/>
    <col min="14086" max="14086" width="9.28515625" style="40" customWidth="1"/>
    <col min="14087" max="14087" width="3.85546875" style="40" customWidth="1"/>
    <col min="14088" max="14088" width="9.28515625" style="40" customWidth="1"/>
    <col min="14089" max="14089" width="4.5703125" style="40" customWidth="1"/>
    <col min="14090" max="14090" width="3.28515625" style="40" customWidth="1"/>
    <col min="14091" max="14091" width="3.7109375" style="40" customWidth="1"/>
    <col min="14092" max="14092" width="14.7109375" style="40" customWidth="1"/>
    <col min="14093" max="14336" width="9.140625" style="40"/>
    <col min="14337" max="14337" width="29.140625" style="40" customWidth="1"/>
    <col min="14338" max="14338" width="9" style="40" customWidth="1"/>
    <col min="14339" max="14339" width="8.7109375" style="40" customWidth="1"/>
    <col min="14340" max="14340" width="8.5703125" style="40" customWidth="1"/>
    <col min="14341" max="14341" width="13.85546875" style="40" customWidth="1"/>
    <col min="14342" max="14342" width="9.28515625" style="40" customWidth="1"/>
    <col min="14343" max="14343" width="3.85546875" style="40" customWidth="1"/>
    <col min="14344" max="14344" width="9.28515625" style="40" customWidth="1"/>
    <col min="14345" max="14345" width="4.5703125" style="40" customWidth="1"/>
    <col min="14346" max="14346" width="3.28515625" style="40" customWidth="1"/>
    <col min="14347" max="14347" width="3.7109375" style="40" customWidth="1"/>
    <col min="14348" max="14348" width="14.7109375" style="40" customWidth="1"/>
    <col min="14349" max="14592" width="9.140625" style="40"/>
    <col min="14593" max="14593" width="29.140625" style="40" customWidth="1"/>
    <col min="14594" max="14594" width="9" style="40" customWidth="1"/>
    <col min="14595" max="14595" width="8.7109375" style="40" customWidth="1"/>
    <col min="14596" max="14596" width="8.5703125" style="40" customWidth="1"/>
    <col min="14597" max="14597" width="13.85546875" style="40" customWidth="1"/>
    <col min="14598" max="14598" width="9.28515625" style="40" customWidth="1"/>
    <col min="14599" max="14599" width="3.85546875" style="40" customWidth="1"/>
    <col min="14600" max="14600" width="9.28515625" style="40" customWidth="1"/>
    <col min="14601" max="14601" width="4.5703125" style="40" customWidth="1"/>
    <col min="14602" max="14602" width="3.28515625" style="40" customWidth="1"/>
    <col min="14603" max="14603" width="3.7109375" style="40" customWidth="1"/>
    <col min="14604" max="14604" width="14.7109375" style="40" customWidth="1"/>
    <col min="14605" max="14848" width="9.140625" style="40"/>
    <col min="14849" max="14849" width="29.140625" style="40" customWidth="1"/>
    <col min="14850" max="14850" width="9" style="40" customWidth="1"/>
    <col min="14851" max="14851" width="8.7109375" style="40" customWidth="1"/>
    <col min="14852" max="14852" width="8.5703125" style="40" customWidth="1"/>
    <col min="14853" max="14853" width="13.85546875" style="40" customWidth="1"/>
    <col min="14854" max="14854" width="9.28515625" style="40" customWidth="1"/>
    <col min="14855" max="14855" width="3.85546875" style="40" customWidth="1"/>
    <col min="14856" max="14856" width="9.28515625" style="40" customWidth="1"/>
    <col min="14857" max="14857" width="4.5703125" style="40" customWidth="1"/>
    <col min="14858" max="14858" width="3.28515625" style="40" customWidth="1"/>
    <col min="14859" max="14859" width="3.7109375" style="40" customWidth="1"/>
    <col min="14860" max="14860" width="14.7109375" style="40" customWidth="1"/>
    <col min="14861" max="15104" width="9.140625" style="40"/>
    <col min="15105" max="15105" width="29.140625" style="40" customWidth="1"/>
    <col min="15106" max="15106" width="9" style="40" customWidth="1"/>
    <col min="15107" max="15107" width="8.7109375" style="40" customWidth="1"/>
    <col min="15108" max="15108" width="8.5703125" style="40" customWidth="1"/>
    <col min="15109" max="15109" width="13.85546875" style="40" customWidth="1"/>
    <col min="15110" max="15110" width="9.28515625" style="40" customWidth="1"/>
    <col min="15111" max="15111" width="3.85546875" style="40" customWidth="1"/>
    <col min="15112" max="15112" width="9.28515625" style="40" customWidth="1"/>
    <col min="15113" max="15113" width="4.5703125" style="40" customWidth="1"/>
    <col min="15114" max="15114" width="3.28515625" style="40" customWidth="1"/>
    <col min="15115" max="15115" width="3.7109375" style="40" customWidth="1"/>
    <col min="15116" max="15116" width="14.7109375" style="40" customWidth="1"/>
    <col min="15117" max="15360" width="9.140625" style="40"/>
    <col min="15361" max="15361" width="29.140625" style="40" customWidth="1"/>
    <col min="15362" max="15362" width="9" style="40" customWidth="1"/>
    <col min="15363" max="15363" width="8.7109375" style="40" customWidth="1"/>
    <col min="15364" max="15364" width="8.5703125" style="40" customWidth="1"/>
    <col min="15365" max="15365" width="13.85546875" style="40" customWidth="1"/>
    <col min="15366" max="15366" width="9.28515625" style="40" customWidth="1"/>
    <col min="15367" max="15367" width="3.85546875" style="40" customWidth="1"/>
    <col min="15368" max="15368" width="9.28515625" style="40" customWidth="1"/>
    <col min="15369" max="15369" width="4.5703125" style="40" customWidth="1"/>
    <col min="15370" max="15370" width="3.28515625" style="40" customWidth="1"/>
    <col min="15371" max="15371" width="3.7109375" style="40" customWidth="1"/>
    <col min="15372" max="15372" width="14.7109375" style="40" customWidth="1"/>
    <col min="15373" max="15616" width="9.140625" style="40"/>
    <col min="15617" max="15617" width="29.140625" style="40" customWidth="1"/>
    <col min="15618" max="15618" width="9" style="40" customWidth="1"/>
    <col min="15619" max="15619" width="8.7109375" style="40" customWidth="1"/>
    <col min="15620" max="15620" width="8.5703125" style="40" customWidth="1"/>
    <col min="15621" max="15621" width="13.85546875" style="40" customWidth="1"/>
    <col min="15622" max="15622" width="9.28515625" style="40" customWidth="1"/>
    <col min="15623" max="15623" width="3.85546875" style="40" customWidth="1"/>
    <col min="15624" max="15624" width="9.28515625" style="40" customWidth="1"/>
    <col min="15625" max="15625" width="4.5703125" style="40" customWidth="1"/>
    <col min="15626" max="15626" width="3.28515625" style="40" customWidth="1"/>
    <col min="15627" max="15627" width="3.7109375" style="40" customWidth="1"/>
    <col min="15628" max="15628" width="14.7109375" style="40" customWidth="1"/>
    <col min="15629" max="15872" width="9.140625" style="40"/>
    <col min="15873" max="15873" width="29.140625" style="40" customWidth="1"/>
    <col min="15874" max="15874" width="9" style="40" customWidth="1"/>
    <col min="15875" max="15875" width="8.7109375" style="40" customWidth="1"/>
    <col min="15876" max="15876" width="8.5703125" style="40" customWidth="1"/>
    <col min="15877" max="15877" width="13.85546875" style="40" customWidth="1"/>
    <col min="15878" max="15878" width="9.28515625" style="40" customWidth="1"/>
    <col min="15879" max="15879" width="3.85546875" style="40" customWidth="1"/>
    <col min="15880" max="15880" width="9.28515625" style="40" customWidth="1"/>
    <col min="15881" max="15881" width="4.5703125" style="40" customWidth="1"/>
    <col min="15882" max="15882" width="3.28515625" style="40" customWidth="1"/>
    <col min="15883" max="15883" width="3.7109375" style="40" customWidth="1"/>
    <col min="15884" max="15884" width="14.7109375" style="40" customWidth="1"/>
    <col min="15885" max="16128" width="9.140625" style="40"/>
    <col min="16129" max="16129" width="29.140625" style="40" customWidth="1"/>
    <col min="16130" max="16130" width="9" style="40" customWidth="1"/>
    <col min="16131" max="16131" width="8.7109375" style="40" customWidth="1"/>
    <col min="16132" max="16132" width="8.5703125" style="40" customWidth="1"/>
    <col min="16133" max="16133" width="13.85546875" style="40" customWidth="1"/>
    <col min="16134" max="16134" width="9.28515625" style="40" customWidth="1"/>
    <col min="16135" max="16135" width="3.85546875" style="40" customWidth="1"/>
    <col min="16136" max="16136" width="9.28515625" style="40" customWidth="1"/>
    <col min="16137" max="16137" width="4.5703125" style="40" customWidth="1"/>
    <col min="16138" max="16138" width="3.28515625" style="40" customWidth="1"/>
    <col min="16139" max="16139" width="3.7109375" style="40" customWidth="1"/>
    <col min="16140" max="16140" width="14.7109375" style="40" customWidth="1"/>
    <col min="16141" max="16384" width="9.140625" style="40"/>
  </cols>
  <sheetData>
    <row r="1" spans="1:20" ht="58.5" customHeight="1" thickBot="1" x14ac:dyDescent="0.25">
      <c r="J1" s="41"/>
      <c r="N1" s="42" t="s">
        <v>99</v>
      </c>
      <c r="O1" s="41"/>
      <c r="S1" s="41"/>
      <c r="T1" s="43" t="s">
        <v>100</v>
      </c>
    </row>
    <row r="2" spans="1:20" x14ac:dyDescent="0.2">
      <c r="A2" s="208" t="s">
        <v>274</v>
      </c>
      <c r="B2" s="209"/>
      <c r="C2" s="209"/>
      <c r="D2" s="209"/>
      <c r="E2" s="209"/>
      <c r="F2" s="210"/>
      <c r="G2" s="209"/>
      <c r="H2" s="209"/>
      <c r="I2" s="209"/>
      <c r="J2" s="211"/>
      <c r="K2" s="209"/>
      <c r="L2" s="209"/>
      <c r="M2" s="209"/>
      <c r="N2" s="209"/>
      <c r="O2" s="209"/>
      <c r="P2" s="209"/>
      <c r="Q2" s="209"/>
      <c r="R2" s="209"/>
      <c r="S2" s="209"/>
      <c r="T2" s="212"/>
    </row>
    <row r="3" spans="1:20" x14ac:dyDescent="0.2">
      <c r="A3" s="213" t="s">
        <v>275</v>
      </c>
      <c r="B3" s="102"/>
      <c r="C3" s="102"/>
      <c r="D3" s="102"/>
      <c r="E3" s="102"/>
      <c r="F3" s="101"/>
      <c r="G3" s="214" t="s">
        <v>305</v>
      </c>
      <c r="H3" s="102"/>
      <c r="I3" s="102"/>
      <c r="J3" s="101"/>
      <c r="K3" s="102"/>
      <c r="L3" s="102"/>
      <c r="M3" s="102"/>
      <c r="N3" s="102"/>
      <c r="O3" s="102"/>
      <c r="P3" s="102"/>
      <c r="Q3" s="102"/>
      <c r="R3" s="102"/>
      <c r="S3" s="102"/>
      <c r="T3" s="215"/>
    </row>
    <row r="4" spans="1:20" x14ac:dyDescent="0.2">
      <c r="A4" s="216" t="s">
        <v>116</v>
      </c>
      <c r="B4" s="217">
        <v>41059</v>
      </c>
      <c r="C4" s="102"/>
      <c r="D4" s="102" t="s">
        <v>172</v>
      </c>
      <c r="E4" s="102"/>
      <c r="F4" s="101"/>
      <c r="G4" s="102"/>
      <c r="H4" s="102"/>
      <c r="I4" s="102"/>
      <c r="J4" s="101"/>
      <c r="K4" s="102"/>
      <c r="L4" s="102"/>
      <c r="M4" s="102"/>
      <c r="N4" s="102"/>
      <c r="O4" s="102"/>
      <c r="P4" s="102"/>
      <c r="Q4" s="102"/>
      <c r="R4" s="102"/>
      <c r="S4" s="102"/>
      <c r="T4" s="215"/>
    </row>
    <row r="5" spans="1:20" x14ac:dyDescent="0.2">
      <c r="A5" s="73"/>
      <c r="F5" s="74"/>
      <c r="H5" s="74"/>
      <c r="J5" s="74"/>
      <c r="T5" s="76"/>
    </row>
    <row r="6" spans="1:20" x14ac:dyDescent="0.2">
      <c r="A6" s="73" t="s">
        <v>306</v>
      </c>
      <c r="B6" s="40" t="s">
        <v>174</v>
      </c>
      <c r="C6" s="40" t="s">
        <v>307</v>
      </c>
      <c r="D6" s="127">
        <v>421.96</v>
      </c>
      <c r="E6" s="128" t="s">
        <v>176</v>
      </c>
      <c r="F6" s="74" t="s">
        <v>76</v>
      </c>
      <c r="H6" s="74"/>
      <c r="J6" s="74"/>
      <c r="T6" s="76"/>
    </row>
    <row r="7" spans="1:20" x14ac:dyDescent="0.2">
      <c r="A7" s="73"/>
      <c r="D7" s="127"/>
      <c r="E7" s="128"/>
      <c r="F7" s="74"/>
      <c r="H7" s="74"/>
      <c r="J7" s="74"/>
      <c r="T7" s="76"/>
    </row>
    <row r="8" spans="1:20" x14ac:dyDescent="0.2">
      <c r="A8" s="73" t="s">
        <v>308</v>
      </c>
      <c r="D8" s="127"/>
      <c r="E8" s="128"/>
      <c r="F8" s="74"/>
      <c r="H8" s="74"/>
      <c r="J8" s="74"/>
      <c r="T8" s="76"/>
    </row>
    <row r="9" spans="1:20" x14ac:dyDescent="0.2">
      <c r="A9" s="73"/>
      <c r="D9" s="127"/>
      <c r="E9" s="128"/>
      <c r="F9" s="74"/>
      <c r="H9" s="74"/>
      <c r="J9" s="74"/>
      <c r="T9" s="76"/>
    </row>
    <row r="10" spans="1:20" x14ac:dyDescent="0.2">
      <c r="A10" s="73" t="s">
        <v>280</v>
      </c>
      <c r="B10" s="40" t="s">
        <v>184</v>
      </c>
      <c r="C10" s="40" t="s">
        <v>221</v>
      </c>
      <c r="D10" s="127"/>
      <c r="E10" s="128"/>
      <c r="F10" s="74">
        <v>1</v>
      </c>
      <c r="G10" s="40" t="s">
        <v>126</v>
      </c>
      <c r="H10" s="74"/>
      <c r="J10" s="74"/>
      <c r="T10" s="76"/>
    </row>
    <row r="11" spans="1:20" x14ac:dyDescent="0.2">
      <c r="A11" s="73" t="s">
        <v>226</v>
      </c>
      <c r="B11" s="40" t="s">
        <v>184</v>
      </c>
      <c r="C11" s="40" t="s">
        <v>227</v>
      </c>
      <c r="D11" s="127"/>
      <c r="E11" s="128" t="s">
        <v>186</v>
      </c>
      <c r="F11" s="74">
        <v>99</v>
      </c>
      <c r="G11" s="40" t="s">
        <v>126</v>
      </c>
      <c r="H11" s="74"/>
      <c r="J11" s="74"/>
      <c r="T11" s="76"/>
    </row>
    <row r="12" spans="1:20" ht="13.5" thickBot="1" x14ac:dyDescent="0.25">
      <c r="A12" s="218" t="s">
        <v>309</v>
      </c>
      <c r="B12" s="82"/>
      <c r="C12" s="82"/>
      <c r="D12" s="219"/>
      <c r="E12" s="220"/>
      <c r="F12" s="83">
        <v>100</v>
      </c>
      <c r="G12" s="84" t="s">
        <v>126</v>
      </c>
      <c r="H12" s="74"/>
      <c r="J12" s="74"/>
      <c r="T12" s="76"/>
    </row>
    <row r="13" spans="1:20" ht="13.5" thickTop="1" x14ac:dyDescent="0.2">
      <c r="A13" s="73"/>
      <c r="D13" s="127"/>
      <c r="E13" s="128"/>
      <c r="F13" s="74"/>
      <c r="H13" s="74"/>
      <c r="J13" s="74"/>
      <c r="T13" s="76"/>
    </row>
    <row r="14" spans="1:20" x14ac:dyDescent="0.2">
      <c r="A14" s="73"/>
      <c r="F14" s="74"/>
      <c r="H14" s="74"/>
      <c r="J14" s="74"/>
      <c r="T14" s="76"/>
    </row>
    <row r="15" spans="1:20" x14ac:dyDescent="0.2">
      <c r="A15" s="73" t="s">
        <v>310</v>
      </c>
      <c r="B15" s="40" t="s">
        <v>184</v>
      </c>
      <c r="C15" s="40" t="s">
        <v>219</v>
      </c>
      <c r="D15" s="127"/>
      <c r="E15" s="128" t="s">
        <v>186</v>
      </c>
      <c r="F15" s="74">
        <v>1</v>
      </c>
      <c r="G15" s="40" t="s">
        <v>126</v>
      </c>
      <c r="H15" s="74"/>
      <c r="J15" s="74"/>
      <c r="T15" s="76"/>
    </row>
    <row r="16" spans="1:20" x14ac:dyDescent="0.2">
      <c r="A16" s="73" t="s">
        <v>222</v>
      </c>
      <c r="B16" s="40" t="s">
        <v>184</v>
      </c>
      <c r="C16" s="40" t="s">
        <v>223</v>
      </c>
      <c r="D16" s="127"/>
      <c r="E16" s="128" t="s">
        <v>186</v>
      </c>
      <c r="F16" s="74">
        <v>249</v>
      </c>
      <c r="G16" s="40" t="s">
        <v>126</v>
      </c>
      <c r="H16" s="74"/>
      <c r="J16" s="74"/>
      <c r="T16" s="76"/>
    </row>
    <row r="17" spans="1:20" x14ac:dyDescent="0.2">
      <c r="A17" s="73" t="s">
        <v>226</v>
      </c>
      <c r="B17" s="40" t="s">
        <v>184</v>
      </c>
      <c r="C17" s="40" t="s">
        <v>227</v>
      </c>
      <c r="D17" s="127"/>
      <c r="E17" s="128" t="s">
        <v>186</v>
      </c>
      <c r="F17" s="74">
        <v>750</v>
      </c>
      <c r="G17" s="40" t="s">
        <v>126</v>
      </c>
      <c r="H17" s="74"/>
      <c r="J17" s="74"/>
      <c r="T17" s="76"/>
    </row>
    <row r="18" spans="1:20" ht="13.5" thickBot="1" x14ac:dyDescent="0.25">
      <c r="A18" s="81" t="s">
        <v>311</v>
      </c>
      <c r="B18" s="82"/>
      <c r="C18" s="82"/>
      <c r="D18" s="82"/>
      <c r="E18" s="82"/>
      <c r="F18" s="83">
        <v>1</v>
      </c>
      <c r="G18" s="82" t="s">
        <v>312</v>
      </c>
      <c r="H18" s="74"/>
      <c r="J18" s="74"/>
      <c r="T18" s="76"/>
    </row>
    <row r="19" spans="1:20" ht="13.5" thickTop="1" x14ac:dyDescent="0.2">
      <c r="A19" s="73"/>
      <c r="F19" s="74"/>
      <c r="H19" s="74"/>
      <c r="J19" s="74"/>
      <c r="T19" s="76"/>
    </row>
    <row r="20" spans="1:20" x14ac:dyDescent="0.2">
      <c r="A20" s="73"/>
      <c r="D20" s="127"/>
      <c r="E20" s="128"/>
      <c r="F20" s="74"/>
      <c r="H20" s="74"/>
      <c r="J20" s="74"/>
      <c r="T20" s="76"/>
    </row>
    <row r="21" spans="1:20" x14ac:dyDescent="0.2">
      <c r="A21" s="88" t="s">
        <v>313</v>
      </c>
      <c r="B21" s="92"/>
      <c r="C21" s="92"/>
      <c r="D21" s="92"/>
      <c r="E21" s="92"/>
      <c r="F21" s="74"/>
      <c r="H21" s="74"/>
      <c r="J21" s="74"/>
      <c r="T21" s="76"/>
    </row>
    <row r="22" spans="1:20" x14ac:dyDescent="0.2">
      <c r="A22" s="73"/>
      <c r="F22" s="74"/>
      <c r="H22" s="74"/>
      <c r="J22" s="74"/>
      <c r="K22" s="221" t="s">
        <v>308</v>
      </c>
      <c r="L22" s="221"/>
      <c r="M22" s="221"/>
      <c r="N22" s="221"/>
      <c r="T22" s="76"/>
    </row>
    <row r="23" spans="1:20" x14ac:dyDescent="0.2">
      <c r="A23" s="222" t="s">
        <v>314</v>
      </c>
      <c r="F23" s="74" t="s">
        <v>315</v>
      </c>
      <c r="H23" s="74" t="s">
        <v>316</v>
      </c>
      <c r="J23" s="74"/>
      <c r="K23" s="221" t="s">
        <v>317</v>
      </c>
      <c r="L23" s="221"/>
      <c r="M23" s="221"/>
      <c r="N23" s="221"/>
      <c r="T23" s="76"/>
    </row>
    <row r="24" spans="1:20" x14ac:dyDescent="0.2">
      <c r="A24" s="88"/>
      <c r="F24" s="74"/>
      <c r="H24" s="74"/>
      <c r="J24" s="74"/>
      <c r="K24" s="221"/>
      <c r="L24" s="221"/>
      <c r="M24" s="221"/>
      <c r="N24" s="221"/>
      <c r="T24" s="76"/>
    </row>
    <row r="25" spans="1:20" x14ac:dyDescent="0.2">
      <c r="A25" s="73" t="s">
        <v>318</v>
      </c>
      <c r="F25" s="74">
        <v>100</v>
      </c>
      <c r="G25" s="40" t="s">
        <v>240</v>
      </c>
      <c r="H25" s="74">
        <v>10</v>
      </c>
      <c r="I25" s="40" t="s">
        <v>240</v>
      </c>
      <c r="J25" s="74"/>
      <c r="K25" s="221" t="s">
        <v>319</v>
      </c>
      <c r="L25" s="221"/>
      <c r="M25" s="221"/>
      <c r="N25" s="221"/>
      <c r="T25" s="76"/>
    </row>
    <row r="26" spans="1:20" x14ac:dyDescent="0.2">
      <c r="A26" s="223" t="s">
        <v>309</v>
      </c>
      <c r="F26" s="74">
        <v>100</v>
      </c>
      <c r="G26" s="40" t="s">
        <v>126</v>
      </c>
      <c r="H26" s="74">
        <v>10</v>
      </c>
      <c r="I26" s="40" t="s">
        <v>126</v>
      </c>
      <c r="J26" s="74"/>
      <c r="K26" s="221"/>
      <c r="L26" s="221" t="s">
        <v>320</v>
      </c>
      <c r="M26" s="221"/>
      <c r="N26" s="221"/>
      <c r="T26" s="76"/>
    </row>
    <row r="27" spans="1:20" ht="13.5" thickBot="1" x14ac:dyDescent="0.25">
      <c r="A27" s="174" t="s">
        <v>321</v>
      </c>
      <c r="B27" s="224">
        <v>1</v>
      </c>
      <c r="C27" s="224" t="s">
        <v>322</v>
      </c>
      <c r="D27" s="225">
        <f>((1/$D$6)*B27)*1000</f>
        <v>2.3698928808417858</v>
      </c>
      <c r="E27" s="84" t="s">
        <v>323</v>
      </c>
      <c r="F27" s="83">
        <v>100</v>
      </c>
      <c r="G27" s="84" t="s">
        <v>126</v>
      </c>
      <c r="H27" s="83">
        <v>10</v>
      </c>
      <c r="I27" s="84" t="s">
        <v>126</v>
      </c>
      <c r="J27" s="74"/>
      <c r="K27" s="221"/>
      <c r="L27" s="221" t="s">
        <v>324</v>
      </c>
      <c r="M27" s="221"/>
      <c r="N27" s="221"/>
      <c r="T27" s="76"/>
    </row>
    <row r="28" spans="1:20" ht="13.5" thickTop="1" x14ac:dyDescent="0.2">
      <c r="A28" s="73"/>
      <c r="F28" s="74"/>
      <c r="H28" s="74"/>
      <c r="J28" s="74"/>
      <c r="K28" s="221"/>
      <c r="L28" s="221"/>
      <c r="M28" s="221"/>
      <c r="N28" s="221"/>
      <c r="T28" s="76"/>
    </row>
    <row r="29" spans="1:20" x14ac:dyDescent="0.2">
      <c r="A29" s="73"/>
      <c r="F29" s="74"/>
      <c r="H29" s="74"/>
      <c r="J29" s="74"/>
      <c r="K29" s="221"/>
      <c r="L29" s="221"/>
      <c r="M29" s="221"/>
      <c r="N29" s="221"/>
      <c r="T29" s="76"/>
    </row>
    <row r="30" spans="1:20" x14ac:dyDescent="0.2">
      <c r="A30" s="169" t="s">
        <v>321</v>
      </c>
      <c r="F30" s="74">
        <v>10</v>
      </c>
      <c r="G30" s="40" t="s">
        <v>120</v>
      </c>
      <c r="H30" s="74">
        <v>10</v>
      </c>
      <c r="I30" s="40" t="s">
        <v>120</v>
      </c>
      <c r="J30" s="74"/>
      <c r="K30" s="221" t="s">
        <v>325</v>
      </c>
      <c r="L30" s="221"/>
      <c r="M30" s="221"/>
      <c r="N30" s="221"/>
      <c r="T30" s="76"/>
    </row>
    <row r="31" spans="1:20" x14ac:dyDescent="0.2">
      <c r="A31" s="73" t="s">
        <v>311</v>
      </c>
      <c r="F31" s="74">
        <v>990</v>
      </c>
      <c r="G31" s="40" t="s">
        <v>120</v>
      </c>
      <c r="H31" s="74">
        <v>990</v>
      </c>
      <c r="I31" s="40" t="s">
        <v>120</v>
      </c>
      <c r="J31" s="74"/>
      <c r="K31" s="221"/>
      <c r="L31" s="221" t="s">
        <v>326</v>
      </c>
      <c r="M31" s="221"/>
      <c r="N31" s="221"/>
      <c r="T31" s="76"/>
    </row>
    <row r="32" spans="1:20" ht="13.5" thickBot="1" x14ac:dyDescent="0.25">
      <c r="A32" s="174" t="s">
        <v>327</v>
      </c>
      <c r="B32" s="82">
        <v>10</v>
      </c>
      <c r="C32" s="82" t="s">
        <v>290</v>
      </c>
      <c r="D32" s="225">
        <f>((1/$D$6)*B32)*1000</f>
        <v>23.698928808417861</v>
      </c>
      <c r="E32" s="82" t="s">
        <v>273</v>
      </c>
      <c r="F32" s="83">
        <v>1</v>
      </c>
      <c r="G32" s="84" t="s">
        <v>126</v>
      </c>
      <c r="H32" s="83">
        <v>1</v>
      </c>
      <c r="I32" s="84" t="s">
        <v>126</v>
      </c>
      <c r="J32" s="74"/>
      <c r="K32" s="221"/>
      <c r="L32" s="221" t="s">
        <v>328</v>
      </c>
      <c r="M32" s="221"/>
      <c r="N32" s="221"/>
      <c r="T32" s="76"/>
    </row>
    <row r="33" spans="1:20" ht="13.5" thickTop="1" x14ac:dyDescent="0.2">
      <c r="A33" s="73"/>
      <c r="F33" s="74"/>
      <c r="H33" s="74"/>
      <c r="J33" s="74"/>
      <c r="K33" s="221"/>
      <c r="L33" s="221"/>
      <c r="M33" s="221"/>
      <c r="N33" s="221"/>
      <c r="T33" s="76"/>
    </row>
    <row r="34" spans="1:20" x14ac:dyDescent="0.2">
      <c r="A34" s="73"/>
      <c r="F34" s="74"/>
      <c r="H34" s="74"/>
      <c r="J34" s="74"/>
      <c r="K34" s="221"/>
      <c r="L34" s="221"/>
      <c r="M34" s="221"/>
      <c r="N34" s="221"/>
      <c r="T34" s="76"/>
    </row>
    <row r="35" spans="1:20" x14ac:dyDescent="0.2">
      <c r="A35" s="169" t="s">
        <v>327</v>
      </c>
      <c r="F35" s="74">
        <v>10</v>
      </c>
      <c r="G35" s="40" t="s">
        <v>120</v>
      </c>
      <c r="H35" s="74">
        <v>10</v>
      </c>
      <c r="I35" s="40" t="s">
        <v>120</v>
      </c>
      <c r="J35" s="74"/>
      <c r="K35" s="221" t="s">
        <v>329</v>
      </c>
      <c r="L35" s="221"/>
      <c r="M35" s="221"/>
      <c r="N35" s="221"/>
      <c r="T35" s="76"/>
    </row>
    <row r="36" spans="1:20" x14ac:dyDescent="0.2">
      <c r="A36" s="73" t="s">
        <v>311</v>
      </c>
      <c r="F36" s="74">
        <v>990</v>
      </c>
      <c r="G36" s="40" t="s">
        <v>120</v>
      </c>
      <c r="H36" s="74">
        <v>990</v>
      </c>
      <c r="I36" s="40" t="s">
        <v>120</v>
      </c>
      <c r="J36" s="74"/>
      <c r="K36" s="221"/>
      <c r="L36" s="221" t="s">
        <v>330</v>
      </c>
      <c r="M36" s="221"/>
      <c r="N36" s="221"/>
      <c r="T36" s="76"/>
    </row>
    <row r="37" spans="1:20" ht="13.5" thickBot="1" x14ac:dyDescent="0.25">
      <c r="A37" s="174" t="s">
        <v>331</v>
      </c>
      <c r="B37" s="82">
        <v>100</v>
      </c>
      <c r="C37" s="82" t="s">
        <v>293</v>
      </c>
      <c r="D37" s="225">
        <f>((1/$D$6)*B37)*1000</f>
        <v>236.98928808417861</v>
      </c>
      <c r="E37" s="82" t="s">
        <v>294</v>
      </c>
      <c r="F37" s="83">
        <v>1</v>
      </c>
      <c r="G37" s="84" t="s">
        <v>126</v>
      </c>
      <c r="H37" s="83">
        <v>1</v>
      </c>
      <c r="I37" s="84" t="s">
        <v>126</v>
      </c>
      <c r="J37" s="74"/>
      <c r="K37" s="221"/>
      <c r="L37" s="221" t="s">
        <v>328</v>
      </c>
      <c r="M37" s="221"/>
      <c r="N37" s="221"/>
      <c r="T37" s="76"/>
    </row>
    <row r="38" spans="1:20" ht="13.5" thickTop="1" x14ac:dyDescent="0.2">
      <c r="A38" s="73"/>
      <c r="F38" s="74"/>
      <c r="H38" s="74"/>
      <c r="J38" s="74"/>
      <c r="K38" s="221"/>
      <c r="L38" s="221"/>
      <c r="M38" s="221"/>
      <c r="N38" s="221"/>
      <c r="T38" s="76"/>
    </row>
    <row r="39" spans="1:20" x14ac:dyDescent="0.2">
      <c r="A39" s="73"/>
      <c r="F39" s="74"/>
      <c r="H39" s="74"/>
      <c r="J39" s="74"/>
      <c r="K39" s="221"/>
      <c r="L39" s="221"/>
      <c r="M39" s="221"/>
      <c r="N39" s="221"/>
      <c r="T39" s="76"/>
    </row>
    <row r="40" spans="1:20" x14ac:dyDescent="0.2">
      <c r="A40" s="169" t="s">
        <v>331</v>
      </c>
      <c r="F40" s="74">
        <v>10</v>
      </c>
      <c r="G40" s="40" t="s">
        <v>120</v>
      </c>
      <c r="H40" s="74">
        <v>100</v>
      </c>
      <c r="I40" s="40" t="s">
        <v>120</v>
      </c>
      <c r="J40" s="74"/>
      <c r="K40" s="221" t="s">
        <v>332</v>
      </c>
      <c r="L40" s="221"/>
      <c r="M40" s="221"/>
      <c r="N40" s="221"/>
      <c r="T40" s="76"/>
    </row>
    <row r="41" spans="1:20" x14ac:dyDescent="0.2">
      <c r="A41" s="73" t="s">
        <v>311</v>
      </c>
      <c r="F41" s="74">
        <v>990</v>
      </c>
      <c r="G41" s="40" t="s">
        <v>120</v>
      </c>
      <c r="H41" s="74">
        <v>9.9</v>
      </c>
      <c r="I41" s="40" t="s">
        <v>126</v>
      </c>
      <c r="J41" s="74"/>
      <c r="K41" s="221"/>
      <c r="L41" s="221" t="s">
        <v>333</v>
      </c>
      <c r="M41" s="221"/>
      <c r="N41" s="221"/>
      <c r="T41" s="76"/>
    </row>
    <row r="42" spans="1:20" ht="13.5" thickBot="1" x14ac:dyDescent="0.25">
      <c r="A42" s="174" t="s">
        <v>334</v>
      </c>
      <c r="B42" s="82">
        <v>1</v>
      </c>
      <c r="C42" s="82" t="s">
        <v>293</v>
      </c>
      <c r="D42" s="225">
        <f>((1/$D$6)*B42)*1000</f>
        <v>2.3698928808417858</v>
      </c>
      <c r="E42" s="82" t="s">
        <v>294</v>
      </c>
      <c r="F42" s="83">
        <v>1</v>
      </c>
      <c r="G42" s="84" t="s">
        <v>126</v>
      </c>
      <c r="H42" s="83">
        <v>10</v>
      </c>
      <c r="I42" s="84" t="s">
        <v>126</v>
      </c>
      <c r="J42" s="74"/>
      <c r="K42" s="221"/>
      <c r="L42" s="221" t="s">
        <v>328</v>
      </c>
      <c r="M42" s="221"/>
      <c r="N42" s="221"/>
      <c r="T42" s="76"/>
    </row>
    <row r="43" spans="1:20" ht="13.5" thickTop="1" x14ac:dyDescent="0.2">
      <c r="A43" s="73"/>
      <c r="F43" s="74"/>
      <c r="H43" s="74"/>
      <c r="J43" s="74"/>
      <c r="K43" s="221"/>
      <c r="L43" s="221"/>
      <c r="M43" s="221"/>
      <c r="N43" s="221"/>
      <c r="T43" s="76"/>
    </row>
    <row r="44" spans="1:20" x14ac:dyDescent="0.2">
      <c r="A44" s="73"/>
      <c r="F44" s="74"/>
      <c r="H44" s="74"/>
      <c r="J44" s="74"/>
      <c r="K44" s="221" t="s">
        <v>335</v>
      </c>
      <c r="L44" s="221"/>
      <c r="M44" s="221"/>
      <c r="N44" s="221"/>
      <c r="T44" s="76"/>
    </row>
    <row r="45" spans="1:20" x14ac:dyDescent="0.2">
      <c r="A45" s="169" t="s">
        <v>334</v>
      </c>
      <c r="F45" s="74">
        <v>100</v>
      </c>
      <c r="G45" s="40" t="s">
        <v>120</v>
      </c>
      <c r="H45" s="74">
        <v>1</v>
      </c>
      <c r="I45" s="40" t="s">
        <v>126</v>
      </c>
      <c r="J45" s="74"/>
      <c r="K45" s="221" t="s">
        <v>336</v>
      </c>
      <c r="L45" s="221"/>
      <c r="M45" s="221"/>
      <c r="N45" s="221"/>
      <c r="T45" s="76"/>
    </row>
    <row r="46" spans="1:20" x14ac:dyDescent="0.2">
      <c r="A46" s="73" t="s">
        <v>311</v>
      </c>
      <c r="F46" s="74">
        <v>900</v>
      </c>
      <c r="G46" s="40" t="s">
        <v>120</v>
      </c>
      <c r="H46" s="74">
        <v>9</v>
      </c>
      <c r="I46" s="40" t="s">
        <v>126</v>
      </c>
      <c r="J46" s="74"/>
      <c r="K46" s="221"/>
      <c r="L46" s="221" t="s">
        <v>337</v>
      </c>
      <c r="M46" s="221"/>
      <c r="N46" s="221"/>
      <c r="T46" s="76"/>
    </row>
    <row r="47" spans="1:20" s="180" customFormat="1" ht="13.5" thickBot="1" x14ac:dyDescent="0.25">
      <c r="A47" s="226" t="s">
        <v>338</v>
      </c>
      <c r="B47" s="227">
        <v>100</v>
      </c>
      <c r="C47" s="227" t="s">
        <v>298</v>
      </c>
      <c r="D47" s="228">
        <f>((1/$D$6)*B47)*1000</f>
        <v>236.98928808417861</v>
      </c>
      <c r="E47" s="227" t="s">
        <v>299</v>
      </c>
      <c r="F47" s="229">
        <v>1</v>
      </c>
      <c r="G47" s="230" t="s">
        <v>126</v>
      </c>
      <c r="H47" s="229">
        <v>10</v>
      </c>
      <c r="I47" s="230" t="s">
        <v>126</v>
      </c>
      <c r="J47" s="179"/>
      <c r="K47" s="221"/>
      <c r="L47" s="221" t="s">
        <v>339</v>
      </c>
      <c r="M47" s="231"/>
      <c r="N47" s="231"/>
      <c r="T47" s="181"/>
    </row>
    <row r="48" spans="1:20" ht="13.5" thickTop="1" x14ac:dyDescent="0.2">
      <c r="A48" s="73"/>
      <c r="F48" s="74"/>
      <c r="H48" s="74"/>
      <c r="J48" s="74"/>
      <c r="K48" s="221"/>
      <c r="L48" s="221"/>
      <c r="M48" s="221"/>
      <c r="N48" s="221"/>
      <c r="T48" s="76"/>
    </row>
    <row r="49" spans="1:20" x14ac:dyDescent="0.2">
      <c r="A49" s="73"/>
      <c r="F49" s="74"/>
      <c r="H49" s="74"/>
      <c r="J49" s="74"/>
      <c r="K49" s="221" t="s">
        <v>340</v>
      </c>
      <c r="L49" s="221"/>
      <c r="M49" s="221"/>
      <c r="N49" s="221"/>
      <c r="T49" s="76"/>
    </row>
    <row r="50" spans="1:20" x14ac:dyDescent="0.2">
      <c r="A50" s="169" t="s">
        <v>334</v>
      </c>
      <c r="F50" s="74">
        <v>10</v>
      </c>
      <c r="G50" s="40" t="s">
        <v>120</v>
      </c>
      <c r="H50" s="74">
        <v>100</v>
      </c>
      <c r="I50" s="40" t="s">
        <v>120</v>
      </c>
      <c r="J50" s="74"/>
      <c r="K50" s="221" t="s">
        <v>341</v>
      </c>
      <c r="L50" s="221"/>
      <c r="M50" s="221"/>
      <c r="N50" s="221"/>
      <c r="T50" s="76"/>
    </row>
    <row r="51" spans="1:20" x14ac:dyDescent="0.2">
      <c r="A51" s="73" t="s">
        <v>311</v>
      </c>
      <c r="F51" s="74">
        <v>990</v>
      </c>
      <c r="G51" s="40" t="s">
        <v>120</v>
      </c>
      <c r="H51" s="74">
        <v>9.9</v>
      </c>
      <c r="I51" s="40" t="s">
        <v>126</v>
      </c>
      <c r="J51" s="74"/>
      <c r="K51" s="221"/>
      <c r="L51" s="221" t="s">
        <v>342</v>
      </c>
      <c r="M51" s="221"/>
      <c r="N51" s="221"/>
      <c r="T51" s="76"/>
    </row>
    <row r="52" spans="1:20" s="180" customFormat="1" ht="13.5" thickBot="1" x14ac:dyDescent="0.25">
      <c r="A52" s="226" t="s">
        <v>343</v>
      </c>
      <c r="B52" s="227">
        <v>10</v>
      </c>
      <c r="C52" s="227" t="s">
        <v>298</v>
      </c>
      <c r="D52" s="228">
        <f>((1/$D$6)*B52)*1000</f>
        <v>23.698928808417861</v>
      </c>
      <c r="E52" s="227" t="s">
        <v>299</v>
      </c>
      <c r="F52" s="229">
        <v>1</v>
      </c>
      <c r="G52" s="230" t="s">
        <v>126</v>
      </c>
      <c r="H52" s="229">
        <v>10</v>
      </c>
      <c r="I52" s="230" t="s">
        <v>126</v>
      </c>
      <c r="J52" s="179"/>
      <c r="K52" s="231"/>
      <c r="L52" s="221" t="s">
        <v>344</v>
      </c>
      <c r="M52" s="221"/>
      <c r="N52" s="231"/>
      <c r="T52" s="181"/>
    </row>
    <row r="53" spans="1:20" ht="14.25" thickTop="1" thickBot="1" x14ac:dyDescent="0.25">
      <c r="A53" s="96"/>
      <c r="B53" s="97"/>
      <c r="C53" s="97"/>
      <c r="D53" s="97"/>
      <c r="E53" s="97"/>
      <c r="F53" s="97"/>
      <c r="G53" s="97"/>
      <c r="H53" s="97"/>
      <c r="I53" s="97"/>
      <c r="J53" s="97"/>
      <c r="K53" s="97"/>
      <c r="L53" s="97"/>
      <c r="M53" s="97"/>
      <c r="N53" s="97"/>
      <c r="O53" s="97"/>
      <c r="P53" s="97"/>
      <c r="Q53" s="97"/>
      <c r="R53" s="97"/>
      <c r="S53" s="97"/>
      <c r="T53" s="98"/>
    </row>
  </sheetData>
  <hyperlinks>
    <hyperlink ref="E6" r:id="rId1"/>
    <hyperlink ref="E15" r:id="rId2"/>
    <hyperlink ref="E16" r:id="rId3"/>
    <hyperlink ref="E17" r:id="rId4"/>
    <hyperlink ref="E11" r:id="rId5"/>
  </hyperlinks>
  <pageMargins left="0.7" right="0.7" top="0.75" bottom="0.75" header="0.3" footer="0.3"/>
  <pageSetup scale="67" orientation="landscape" r:id="rId6"/>
  <headerFooter alignWithMargins="0">
    <oddHeader>&amp;L&amp;8&amp;Z&amp;F/&amp;F/&amp;A
&amp;D   &amp;T&amp;R&amp;8&amp;P of &amp;N</oddHeader>
  </headerFooter>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FusionLumos</vt:lpstr>
      <vt:lpstr>Calibration solutions</vt:lpstr>
      <vt:lpstr>Materials and stock solutions</vt:lpstr>
      <vt:lpstr>Reserpine</vt:lpstr>
      <vt:lpstr>Buspirone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Priska</dc:creator>
  <cp:lastModifiedBy>Priska</cp:lastModifiedBy>
  <dcterms:created xsi:type="dcterms:W3CDTF">2018-02-15T00:10:27Z</dcterms:created>
  <dcterms:modified xsi:type="dcterms:W3CDTF">2020-05-15T14:45:44Z</dcterms:modified>
</cp:coreProperties>
</file>